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ál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<sst xmlns="http://schemas.openxmlformats.org/spreadsheetml/2006/main" count="15" uniqueCount="15">
  <si>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Cálculo de férias com abono pecuniário</t>
  </si>
  <si>
    <t xml:space="preserve">Preencha apenas as células amarelas. O resto é calculado.</t>
  </si>
  <si>
    <t xml:space="preserve">Fonte: CF art. 7º, XVII; CLT arts. 129, 143 e 146</t>
  </si>
  <si>
    <t xml:space="preserve">Estimativa para fins informativos; não é aconselhamento jurídico ou financeiro. Confira a fonte oficial e a convenção coletiva da sua categoria.</t>
  </si>
  <si>
    <t xml:space="preserve">Salário bruto mensal</t>
  </si>
  <si>
    <t xml:space="preserve">Dias de abono vendidos (0 a 10)</t>
  </si>
  <si>
    <t xml:space="preserve">Opção do empregado; pedido até 15 dias antes do fim do período aquisitivo</t>
  </si>
  <si>
    <t xml:space="preserve">Valor de um dia</t>
  </si>
  <si>
    <t xml:space="preserve">Dias gozados</t>
  </si>
  <si>
    <t xml:space="preserve">Férias gozadas</t>
  </si>
  <si>
    <t xml:space="preserve">1/3 sobre as férias gozadas</t>
  </si>
  <si>
    <t xml:space="preserve">Abono pecuniário</t>
  </si>
  <si>
    <t xml:space="preserve">1/3 sobre o abono</t>
  </si>
  <si>
    <t xml:space="preserve">Total bruto</t>
  </si>
  <si>
    <t xml:space="preserve">O total bruto não muda com o abono; muda a divisão entre gozo e dinheiro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</si>
</sst>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0" t="s">
        <v>4</v>
      </c>
      <c r="B6" s="3" t="n">
        <v>3000</v>
      </c>
      <c r="C6" s="4"/>
    </row>
    <row r="7" customFormat="false" ht="15" hidden="false" customHeight="false" outlineLevel="0" collapsed="false">
      <c r="A7" s="0" t="s">
        <v>5</v>
      </c>
      <c r="B7" s="5" t="n">
        <v>10</v>
      </c>
      <c r="C7" s="4" t="s">
        <v>6</v>
      </c>
    </row>
    <row r="9" customFormat="false" ht="15" hidden="false" customHeight="false" outlineLevel="0" collapsed="false">
      <c r="A9" s="0" t="s">
        <v>7</v>
      </c>
      <c r="B9" s="6" t="n">
        <f aca="false">B6/30</f>
        <v>100</v>
      </c>
      <c r="C9" s="4"/>
    </row>
    <row r="10" customFormat="false" ht="15" hidden="false" customHeight="false" outlineLevel="0" collapsed="false">
      <c r="A10" s="0" t="s">
        <v>8</v>
      </c>
      <c r="B10" s="7" t="n">
        <f aca="false">30-B7</f>
        <v>20</v>
      </c>
      <c r="C10" s="4"/>
    </row>
    <row r="11" customFormat="false" ht="15" hidden="false" customHeight="false" outlineLevel="0" collapsed="false">
      <c r="A11" s="0" t="s">
        <v>9</v>
      </c>
      <c r="B11" s="6" t="n">
        <f aca="false">B9*B10</f>
        <v>2000</v>
      </c>
      <c r="C11" s="4"/>
    </row>
    <row r="12" customFormat="false" ht="15" hidden="false" customHeight="false" outlineLevel="0" collapsed="false">
      <c r="A12" s="0" t="s">
        <v>10</v>
      </c>
      <c r="B12" s="6" t="n">
        <f aca="false">B11/3</f>
        <v>666.666666666667</v>
      </c>
      <c r="C12" s="4"/>
    </row>
    <row r="13" customFormat="false" ht="15" hidden="false" customHeight="false" outlineLevel="0" collapsed="false">
      <c r="A13" s="0" t="s">
        <v>11</v>
      </c>
      <c r="B13" s="6" t="n">
        <f aca="false">B9*B7</f>
        <v>1000</v>
      </c>
      <c r="C13" s="4"/>
    </row>
    <row r="14" customFormat="false" ht="15" hidden="false" customHeight="false" outlineLevel="0" collapsed="false">
      <c r="A14" s="0" t="s">
        <v>12</v>
      </c>
      <c r="B14" s="6" t="n">
        <f aca="false">B13/3</f>
        <v>333.333333333333</v>
      </c>
      <c r="C14" s="4"/>
    </row>
    <row r="15" customFormat="false" ht="15" hidden="false" customHeight="false" outlineLevel="0" collapsed="false">
      <c r="A15" s="8" t="s">
        <v>13</v>
      </c>
      <c r="B15" s="9" t="n">
        <f aca="false">B11+B12+B13+B14</f>
        <v>4000</v>
      </c>
      <c r="C15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2026-10-14T01:04:00Z</dcterms:created>
  <dc:creator>openpyxl</dc:creator>
  <dc:description/>
  <dc:language>pt-BR</dc:language>
  <cp:lastModifiedBy/>
  <dcterms:modified xsi:type="dcterms:W3CDTF">2026-10-14T01:04:00Z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