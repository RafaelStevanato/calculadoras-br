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álculo" sheetId="1" state="visible" r:id="rId3"/>
    <sheet name="Parcel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<sst xmlns="http://schemas.openxmlformats.org/spreadsheetml/2006/main" count="21" uniqueCount="21">
  <si>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Financiamento: Price × SAC</t>
  </si>
  <si>
    <t xml:space="preserve">Preencha apenas as células amarelas. O resto é calculado.</t>
  </si>
  <si>
    <t xml:space="preserve">Fonte: Tabela Price e SAC, juros compostos mensais sobre o saldo devedor</t>
  </si>
  <si>
    <t xml:space="preserve">Estimativa para fins informativos; não é aconselhamento jurídico ou financeiro. Confira a fonte oficial e a convenção coletiva da sua categoria.</t>
  </si>
  <si>
    <t xml:space="preserve">Valor financiado</t>
  </si>
  <si>
    <t xml:space="preserve">Taxa de juros mensal (%)</t>
  </si>
  <si>
    <t xml:space="preserve">Prazo (meses, até 360)</t>
  </si>
  <si>
    <t xml:space="preserve">Price: parcela fixa</t>
  </si>
  <si>
    <t xml:space="preserve">Price: total pago</t>
  </si>
  <si>
    <t xml:space="preserve">Price: juros totais</t>
  </si>
  <si>
    <t xml:space="preserve">SAC: primeira parcela</t>
  </si>
  <si>
    <t xml:space="preserve">SAC: última parcela</t>
  </si>
  <si>
    <t xml:space="preserve">SAC: total pago</t>
  </si>
  <si>
    <t xml:space="preserve">SAC: juros totais</t>
  </si>
  <si>
    <t xml:space="preserve">Diferença de juros (Price − SAC)</t>
  </si>
  <si>
    <t xml:space="preserve">Sem IOF, seguros e tarifas</t>
  </si>
  <si>
    <t xml:space="preserve">Mês</t>
  </si>
  <si>
    <t xml:space="preserve">Saldo SAC</t>
  </si>
  <si>
    <t xml:space="preserve">Parcela SAC</t>
  </si>
  <si>
    <t xml:space="preserve">Saldo Price</t>
  </si>
  <si>
    <t xml:space="preserve">Parcela Price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</si>
</sst>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000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7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9"/>
      <color rgb="FF555555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  <fill>
      <patternFill patternType="solid">
        <fgColor rgb="FF0F2A47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2656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0" t="s">
        <v>4</v>
      </c>
      <c r="B6" s="3" t="n">
        <v>100000</v>
      </c>
      <c r="C6" s="4"/>
    </row>
    <row r="7" customFormat="false" ht="15" hidden="false" customHeight="false" outlineLevel="0" collapsed="false">
      <c r="A7" s="0" t="s">
        <v>5</v>
      </c>
      <c r="B7" s="5" t="n">
        <v>1</v>
      </c>
      <c r="C7" s="4"/>
    </row>
    <row r="8" customFormat="false" ht="15" hidden="false" customHeight="false" outlineLevel="0" collapsed="false">
      <c r="A8" s="0" t="s">
        <v>6</v>
      </c>
      <c r="B8" s="6" t="n">
        <v>12</v>
      </c>
      <c r="C8" s="4"/>
    </row>
    <row r="10" customFormat="false" ht="15" hidden="false" customHeight="false" outlineLevel="0" collapsed="false">
      <c r="A10" s="0" t="s">
        <v>7</v>
      </c>
      <c r="B10" s="7" t="n">
        <f aca="false">IF(B7=0,B6/B8,B6*(B7/100)/(1-(1+B7/100)^(-B8)))</f>
        <v>8884.87886783416</v>
      </c>
      <c r="C10" s="4"/>
    </row>
    <row r="11" customFormat="false" ht="15" hidden="false" customHeight="false" outlineLevel="0" collapsed="false">
      <c r="A11" s="0" t="s">
        <v>8</v>
      </c>
      <c r="B11" s="7" t="n">
        <f aca="false">B10*B8</f>
        <v>106618.54641401</v>
      </c>
      <c r="C11" s="4"/>
    </row>
    <row r="12" customFormat="false" ht="15" hidden="false" customHeight="false" outlineLevel="0" collapsed="false">
      <c r="A12" s="8" t="s">
        <v>9</v>
      </c>
      <c r="B12" s="9" t="n">
        <f aca="false">B11-B6</f>
        <v>6618.54641400994</v>
      </c>
      <c r="C12" s="4"/>
    </row>
    <row r="13" customFormat="false" ht="15" hidden="false" customHeight="false" outlineLevel="0" collapsed="false">
      <c r="A13" s="0" t="s">
        <v>10</v>
      </c>
      <c r="B13" s="7" t="n">
        <f aca="false">B6/B8+B6*B7/100</f>
        <v>9333.33333333333</v>
      </c>
      <c r="C13" s="4"/>
    </row>
    <row r="14" customFormat="false" ht="15" hidden="false" customHeight="false" outlineLevel="0" collapsed="false">
      <c r="A14" s="0" t="s">
        <v>11</v>
      </c>
      <c r="B14" s="7" t="n">
        <f aca="false">B6/B8+(B6/B8)*B7/100</f>
        <v>8416.66666666667</v>
      </c>
      <c r="C14" s="4"/>
    </row>
    <row r="15" customFormat="false" ht="15" hidden="false" customHeight="false" outlineLevel="0" collapsed="false">
      <c r="A15" s="0" t="s">
        <v>12</v>
      </c>
      <c r="B15" s="7" t="n">
        <f aca="false">B6+B6*(B7/100)*(B8+1)/2</f>
        <v>106500</v>
      </c>
      <c r="C15" s="4"/>
    </row>
    <row r="16" customFormat="false" ht="15" hidden="false" customHeight="false" outlineLevel="0" collapsed="false">
      <c r="A16" s="8" t="s">
        <v>13</v>
      </c>
      <c r="B16" s="9" t="n">
        <f aca="false">B15-B6</f>
        <v>6500</v>
      </c>
      <c r="C16" s="4"/>
    </row>
    <row r="17" customFormat="false" ht="15" hidden="false" customHeight="false" outlineLevel="0" collapsed="false">
      <c r="A17" s="0" t="s">
        <v>14</v>
      </c>
      <c r="B17" s="7" t="n">
        <f aca="false">B12-B16</f>
        <v>118.546414009936</v>
      </c>
      <c r="C17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2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</row>
    <row r="2" customFormat="false" ht="15" hidden="false" customHeight="false" outlineLevel="0" collapsed="false">
      <c r="A2" s="0" t="n">
        <f aca="false">IF(1&lt;=Cálculo!$B$8,1,"")</f>
        <v>1</v>
      </c>
      <c r="B2" s="11" t="n">
        <f aca="false">IF(A2="","",Cálculo!$B$6)</f>
        <v>100000</v>
      </c>
      <c r="C2" s="11" t="n">
        <f aca="false">IF(A2="","",Cálculo!$B$6/Cálculo!$B$8+B2*Cálculo!$B$7/100)</f>
        <v>9333.33333333333</v>
      </c>
      <c r="D2" s="11" t="n">
        <f aca="false">IF(A2="","",Cálculo!$B$6)</f>
        <v>100000</v>
      </c>
      <c r="E2" s="11" t="n">
        <f aca="false">IF(A2="","",Cálculo!$B$10)</f>
        <v>8884.87886783416</v>
      </c>
    </row>
    <row r="3" customFormat="false" ht="15" hidden="false" customHeight="false" outlineLevel="0" collapsed="false">
      <c r="A3" s="0" t="n">
        <f aca="false">IF(2&lt;=Cálculo!$B$8,2,"")</f>
        <v>2</v>
      </c>
      <c r="B3" s="11" t="n">
        <f aca="false">IF(A3="","",B2-Cálculo!$B$6/Cálculo!$B$8)</f>
        <v>91666.6666666667</v>
      </c>
      <c r="C3" s="11" t="n">
        <f aca="false">IF(A3="","",Cálculo!$B$6/Cálculo!$B$8+B3*Cálculo!$B$7/100)</f>
        <v>9250</v>
      </c>
      <c r="D3" s="11" t="n">
        <f aca="false">IF(A3="","",D2-(Cálculo!$B$10-D2*Cálculo!$B$7/100))</f>
        <v>92115.1211321658</v>
      </c>
      <c r="E3" s="11" t="n">
        <f aca="false">IF(A3="","",Cálculo!$B$10)</f>
        <v>8884.87886783416</v>
      </c>
    </row>
    <row r="4" customFormat="false" ht="15" hidden="false" customHeight="false" outlineLevel="0" collapsed="false">
      <c r="A4" s="0" t="n">
        <f aca="false">IF(3&lt;=Cálculo!$B$8,3,"")</f>
        <v>3</v>
      </c>
      <c r="B4" s="11" t="n">
        <f aca="false">IF(A4="","",B3-Cálculo!$B$6/Cálculo!$B$8)</f>
        <v>83333.3333333333</v>
      </c>
      <c r="C4" s="11" t="n">
        <f aca="false">IF(A4="","",Cálculo!$B$6/Cálculo!$B$8+B4*Cálculo!$B$7/100)</f>
        <v>9166.66666666667</v>
      </c>
      <c r="D4" s="11" t="n">
        <f aca="false">IF(A4="","",D3-(Cálculo!$B$10-D3*Cálculo!$B$7/100))</f>
        <v>84151.3934756533</v>
      </c>
      <c r="E4" s="11" t="n">
        <f aca="false">IF(A4="","",Cálculo!$B$10)</f>
        <v>8884.87886783416</v>
      </c>
    </row>
    <row r="5" customFormat="false" ht="15" hidden="false" customHeight="false" outlineLevel="0" collapsed="false">
      <c r="A5" s="0" t="n">
        <f aca="false">IF(4&lt;=Cálculo!$B$8,4,"")</f>
        <v>4</v>
      </c>
      <c r="B5" s="11" t="n">
        <f aca="false">IF(A5="","",B4-Cálculo!$B$6/Cálculo!$B$8)</f>
        <v>75000</v>
      </c>
      <c r="C5" s="11" t="n">
        <f aca="false">IF(A5="","",Cálculo!$B$6/Cálculo!$B$8+B5*Cálculo!$B$7/100)</f>
        <v>9083.33333333333</v>
      </c>
      <c r="D5" s="11" t="n">
        <f aca="false">IF(A5="","",D4-(Cálculo!$B$10-D4*Cálculo!$B$7/100))</f>
        <v>76108.0285425757</v>
      </c>
      <c r="E5" s="11" t="n">
        <f aca="false">IF(A5="","",Cálculo!$B$10)</f>
        <v>8884.87886783416</v>
      </c>
    </row>
    <row r="6" customFormat="false" ht="15" hidden="false" customHeight="false" outlineLevel="0" collapsed="false">
      <c r="A6" s="0" t="n">
        <f aca="false">IF(5&lt;=Cálculo!$B$8,5,"")</f>
        <v>5</v>
      </c>
      <c r="B6" s="11" t="n">
        <f aca="false">IF(A6="","",B5-Cálculo!$B$6/Cálculo!$B$8)</f>
        <v>66666.6666666667</v>
      </c>
      <c r="C6" s="11" t="n">
        <f aca="false">IF(A6="","",Cálculo!$B$6/Cálculo!$B$8+B6*Cálculo!$B$7/100)</f>
        <v>9000</v>
      </c>
      <c r="D6" s="11" t="n">
        <f aca="false">IF(A6="","",D5-(Cálculo!$B$10-D5*Cálculo!$B$7/100))</f>
        <v>67984.2299601673</v>
      </c>
      <c r="E6" s="11" t="n">
        <f aca="false">IF(A6="","",Cálculo!$B$10)</f>
        <v>8884.87886783416</v>
      </c>
    </row>
    <row r="7" customFormat="false" ht="15" hidden="false" customHeight="false" outlineLevel="0" collapsed="false">
      <c r="A7" s="0" t="n">
        <f aca="false">IF(6&lt;=Cálculo!$B$8,6,"")</f>
        <v>6</v>
      </c>
      <c r="B7" s="11" t="n">
        <f aca="false">IF(A7="","",B6-Cálculo!$B$6/Cálculo!$B$8)</f>
        <v>58333.3333333334</v>
      </c>
      <c r="C7" s="11" t="n">
        <f aca="false">IF(A7="","",Cálculo!$B$6/Cálculo!$B$8+B7*Cálculo!$B$7/100)</f>
        <v>8916.66666666667</v>
      </c>
      <c r="D7" s="11" t="n">
        <f aca="false">IF(A7="","",D6-(Cálculo!$B$10-D6*Cálculo!$B$7/100))</f>
        <v>59779.1933919348</v>
      </c>
      <c r="E7" s="11" t="n">
        <f aca="false">IF(A7="","",Cálculo!$B$10)</f>
        <v>8884.87886783416</v>
      </c>
    </row>
    <row r="8" customFormat="false" ht="15" hidden="false" customHeight="false" outlineLevel="0" collapsed="false">
      <c r="A8" s="0" t="n">
        <f aca="false">IF(7&lt;=Cálculo!$B$8,7,"")</f>
        <v>7</v>
      </c>
      <c r="B8" s="11" t="n">
        <f aca="false">IF(A8="","",B7-Cálculo!$B$6/Cálculo!$B$8)</f>
        <v>50000</v>
      </c>
      <c r="C8" s="11" t="n">
        <f aca="false">IF(A8="","",Cálculo!$B$6/Cálculo!$B$8+B8*Cálculo!$B$7/100)</f>
        <v>8833.33333333333</v>
      </c>
      <c r="D8" s="11" t="n">
        <f aca="false">IF(A8="","",D7-(Cálculo!$B$10-D7*Cálculo!$B$7/100))</f>
        <v>51492.10645802</v>
      </c>
      <c r="E8" s="11" t="n">
        <f aca="false">IF(A8="","",Cálculo!$B$10)</f>
        <v>8884.87886783416</v>
      </c>
    </row>
    <row r="9" customFormat="false" ht="15" hidden="false" customHeight="false" outlineLevel="0" collapsed="false">
      <c r="A9" s="0" t="n">
        <f aca="false">IF(8&lt;=Cálculo!$B$8,8,"")</f>
        <v>8</v>
      </c>
      <c r="B9" s="11" t="n">
        <f aca="false">IF(A9="","",B8-Cálculo!$B$6/Cálculo!$B$8)</f>
        <v>41666.6666666667</v>
      </c>
      <c r="C9" s="11" t="n">
        <f aca="false">IF(A9="","",Cálculo!$B$6/Cálculo!$B$8+B9*Cálculo!$B$7/100)</f>
        <v>8750</v>
      </c>
      <c r="D9" s="11" t="n">
        <f aca="false">IF(A9="","",D8-(Cálculo!$B$10-D8*Cálculo!$B$7/100))</f>
        <v>43122.148654766</v>
      </c>
      <c r="E9" s="11" t="n">
        <f aca="false">IF(A9="","",Cálculo!$B$10)</f>
        <v>8884.87886783416</v>
      </c>
    </row>
    <row r="10" customFormat="false" ht="15" hidden="false" customHeight="false" outlineLevel="0" collapsed="false">
      <c r="A10" s="0" t="n">
        <f aca="false">IF(9&lt;=Cálculo!$B$8,9,"")</f>
        <v>9</v>
      </c>
      <c r="B10" s="11" t="n">
        <f aca="false">IF(A10="","",B9-Cálculo!$B$6/Cálculo!$B$8)</f>
        <v>33333.3333333333</v>
      </c>
      <c r="C10" s="11" t="n">
        <f aca="false">IF(A10="","",Cálculo!$B$6/Cálculo!$B$8+B10*Cálculo!$B$7/100)</f>
        <v>8666.66666666667</v>
      </c>
      <c r="D10" s="11" t="n">
        <f aca="false">IF(A10="","",D9-(Cálculo!$B$10-D9*Cálculo!$B$7/100))</f>
        <v>34668.4912734795</v>
      </c>
      <c r="E10" s="11" t="n">
        <f aca="false">IF(A10="","",Cálculo!$B$10)</f>
        <v>8884.87886783416</v>
      </c>
    </row>
    <row r="11" customFormat="false" ht="15" hidden="false" customHeight="false" outlineLevel="0" collapsed="false">
      <c r="A11" s="0" t="n">
        <f aca="false">IF(10&lt;=Cálculo!$B$8,10,"")</f>
        <v>10</v>
      </c>
      <c r="B11" s="11" t="n">
        <f aca="false">IF(A11="","",B10-Cálculo!$B$6/Cálculo!$B$8)</f>
        <v>25000</v>
      </c>
      <c r="C11" s="11" t="n">
        <f aca="false">IF(A11="","",Cálculo!$B$6/Cálculo!$B$8+B11*Cálculo!$B$7/100)</f>
        <v>8583.33333333333</v>
      </c>
      <c r="D11" s="11" t="n">
        <f aca="false">IF(A11="","",D10-(Cálculo!$B$10-D10*Cálculo!$B$7/100))</f>
        <v>26130.2973183802</v>
      </c>
      <c r="E11" s="11" t="n">
        <f aca="false">IF(A11="","",Cálculo!$B$10)</f>
        <v>8884.87886783416</v>
      </c>
    </row>
    <row r="12" customFormat="false" ht="15" hidden="false" customHeight="false" outlineLevel="0" collapsed="false">
      <c r="A12" s="0" t="n">
        <f aca="false">IF(11&lt;=Cálculo!$B$8,11,"")</f>
        <v>11</v>
      </c>
      <c r="B12" s="11" t="n">
        <f aca="false">IF(A12="","",B11-Cálculo!$B$6/Cálculo!$B$8)</f>
        <v>16666.6666666667</v>
      </c>
      <c r="C12" s="11" t="n">
        <f aca="false">IF(A12="","",Cálculo!$B$6/Cálculo!$B$8+B12*Cálculo!$B$7/100)</f>
        <v>8500</v>
      </c>
      <c r="D12" s="11" t="n">
        <f aca="false">IF(A12="","",D11-(Cálculo!$B$10-D11*Cálculo!$B$7/100))</f>
        <v>17506.7214237298</v>
      </c>
      <c r="E12" s="11" t="n">
        <f aca="false">IF(A12="","",Cálculo!$B$10)</f>
        <v>8884.87886783416</v>
      </c>
    </row>
    <row r="13" customFormat="false" ht="15" hidden="false" customHeight="false" outlineLevel="0" collapsed="false">
      <c r="A13" s="0" t="n">
        <f aca="false">IF(12&lt;=Cálculo!$B$8,12,"")</f>
        <v>12</v>
      </c>
      <c r="B13" s="11" t="n">
        <f aca="false">IF(A13="","",B12-Cálculo!$B$6/Cálculo!$B$8)</f>
        <v>8333.33333333334</v>
      </c>
      <c r="C13" s="11" t="n">
        <f aca="false">IF(A13="","",Cálculo!$B$6/Cálculo!$B$8+B13*Cálculo!$B$7/100)</f>
        <v>8416.66666666667</v>
      </c>
      <c r="D13" s="11" t="n">
        <f aca="false">IF(A13="","",D12-(Cálculo!$B$10-D12*Cálculo!$B$7/100))</f>
        <v>8796.90977013295</v>
      </c>
      <c r="E13" s="11" t="n">
        <f aca="false">IF(A13="","",Cálculo!$B$10)</f>
        <v>8884.87886783416</v>
      </c>
    </row>
    <row r="14" customFormat="false" ht="15" hidden="false" customHeight="false" outlineLevel="0" collapsed="false">
      <c r="A14" s="0" t="str">
        <f aca="false">IF(13&lt;=Cálculo!$B$8,13,"")</f>
        <v/>
      </c>
      <c r="B14" s="11" t="str">
        <f aca="false">IF(A14="","",B13-Cálculo!$B$6/Cálculo!$B$8)</f>
        <v/>
      </c>
      <c r="C14" s="11" t="str">
        <f aca="false">IF(A14="","",Cálculo!$B$6/Cálculo!$B$8+B14*Cálculo!$B$7/100)</f>
        <v/>
      </c>
      <c r="D14" s="11" t="str">
        <f aca="false">IF(A14="","",D13-(Cálculo!$B$10-D13*Cálculo!$B$7/100))</f>
        <v/>
      </c>
      <c r="E14" s="11" t="str">
        <f aca="false">IF(A14="","",Cálculo!$B$10)</f>
        <v/>
      </c>
    </row>
    <row r="15" customFormat="false" ht="15" hidden="false" customHeight="false" outlineLevel="0" collapsed="false">
      <c r="A15" s="0" t="str">
        <f aca="false">IF(14&lt;=Cálculo!$B$8,14,"")</f>
        <v/>
      </c>
      <c r="B15" s="11" t="str">
        <f aca="false">IF(A15="","",B14-Cálculo!$B$6/Cálculo!$B$8)</f>
        <v/>
      </c>
      <c r="C15" s="11" t="str">
        <f aca="false">IF(A15="","",Cálculo!$B$6/Cálculo!$B$8+B15*Cálculo!$B$7/100)</f>
        <v/>
      </c>
      <c r="D15" s="11" t="str">
        <f aca="false">IF(A15="","",D14-(Cálculo!$B$10-D14*Cálculo!$B$7/100))</f>
        <v/>
      </c>
      <c r="E15" s="11" t="str">
        <f aca="false">IF(A15="","",Cálculo!$B$10)</f>
        <v/>
      </c>
    </row>
    <row r="16" customFormat="false" ht="15" hidden="false" customHeight="false" outlineLevel="0" collapsed="false">
      <c r="A16" s="0" t="str">
        <f aca="false">IF(15&lt;=Cálculo!$B$8,15,"")</f>
        <v/>
      </c>
      <c r="B16" s="11" t="str">
        <f aca="false">IF(A16="","",B15-Cálculo!$B$6/Cálculo!$B$8)</f>
        <v/>
      </c>
      <c r="C16" s="11" t="str">
        <f aca="false">IF(A16="","",Cálculo!$B$6/Cálculo!$B$8+B16*Cálculo!$B$7/100)</f>
        <v/>
      </c>
      <c r="D16" s="11" t="str">
        <f aca="false">IF(A16="","",D15-(Cálculo!$B$10-D15*Cálculo!$B$7/100))</f>
        <v/>
      </c>
      <c r="E16" s="11" t="str">
        <f aca="false">IF(A16="","",Cálculo!$B$10)</f>
        <v/>
      </c>
    </row>
    <row r="17" customFormat="false" ht="15" hidden="false" customHeight="false" outlineLevel="0" collapsed="false">
      <c r="A17" s="0" t="str">
        <f aca="false">IF(16&lt;=Cálculo!$B$8,16,"")</f>
        <v/>
      </c>
      <c r="B17" s="11" t="str">
        <f aca="false">IF(A17="","",B16-Cálculo!$B$6/Cálculo!$B$8)</f>
        <v/>
      </c>
      <c r="C17" s="11" t="str">
        <f aca="false">IF(A17="","",Cálculo!$B$6/Cálculo!$B$8+B17*Cálculo!$B$7/100)</f>
        <v/>
      </c>
      <c r="D17" s="11" t="str">
        <f aca="false">IF(A17="","",D16-(Cálculo!$B$10-D16*Cálculo!$B$7/100))</f>
        <v/>
      </c>
      <c r="E17" s="11" t="str">
        <f aca="false">IF(A17="","",Cálculo!$B$10)</f>
        <v/>
      </c>
    </row>
    <row r="18" customFormat="false" ht="15" hidden="false" customHeight="false" outlineLevel="0" collapsed="false">
      <c r="A18" s="0" t="str">
        <f aca="false">IF(17&lt;=Cálculo!$B$8,17,"")</f>
        <v/>
      </c>
      <c r="B18" s="11" t="str">
        <f aca="false">IF(A18="","",B17-Cálculo!$B$6/Cálculo!$B$8)</f>
        <v/>
      </c>
      <c r="C18" s="11" t="str">
        <f aca="false">IF(A18="","",Cálculo!$B$6/Cálculo!$B$8+B18*Cálculo!$B$7/100)</f>
        <v/>
      </c>
      <c r="D18" s="11" t="str">
        <f aca="false">IF(A18="","",D17-(Cálculo!$B$10-D17*Cálculo!$B$7/100))</f>
        <v/>
      </c>
      <c r="E18" s="11" t="str">
        <f aca="false">IF(A18="","",Cálculo!$B$10)</f>
        <v/>
      </c>
    </row>
    <row r="19" customFormat="false" ht="15" hidden="false" customHeight="false" outlineLevel="0" collapsed="false">
      <c r="A19" s="0" t="str">
        <f aca="false">IF(18&lt;=Cálculo!$B$8,18,"")</f>
        <v/>
      </c>
      <c r="B19" s="11" t="str">
        <f aca="false">IF(A19="","",B18-Cálculo!$B$6/Cálculo!$B$8)</f>
        <v/>
      </c>
      <c r="C19" s="11" t="str">
        <f aca="false">IF(A19="","",Cálculo!$B$6/Cálculo!$B$8+B19*Cálculo!$B$7/100)</f>
        <v/>
      </c>
      <c r="D19" s="11" t="str">
        <f aca="false">IF(A19="","",D18-(Cálculo!$B$10-D18*Cálculo!$B$7/100))</f>
        <v/>
      </c>
      <c r="E19" s="11" t="str">
        <f aca="false">IF(A19="","",Cálculo!$B$10)</f>
        <v/>
      </c>
    </row>
    <row r="20" customFormat="false" ht="15" hidden="false" customHeight="false" outlineLevel="0" collapsed="false">
      <c r="A20" s="0" t="str">
        <f aca="false">IF(19&lt;=Cálculo!$B$8,19,"")</f>
        <v/>
      </c>
      <c r="B20" s="11" t="str">
        <f aca="false">IF(A20="","",B19-Cálculo!$B$6/Cálculo!$B$8)</f>
        <v/>
      </c>
      <c r="C20" s="11" t="str">
        <f aca="false">IF(A20="","",Cálculo!$B$6/Cálculo!$B$8+B20*Cálculo!$B$7/100)</f>
        <v/>
      </c>
      <c r="D20" s="11" t="str">
        <f aca="false">IF(A20="","",D19-(Cálculo!$B$10-D19*Cálculo!$B$7/100))</f>
        <v/>
      </c>
      <c r="E20" s="11" t="str">
        <f aca="false">IF(A20="","",Cálculo!$B$10)</f>
        <v/>
      </c>
    </row>
    <row r="21" customFormat="false" ht="15" hidden="false" customHeight="false" outlineLevel="0" collapsed="false">
      <c r="A21" s="0" t="str">
        <f aca="false">IF(20&lt;=Cálculo!$B$8,20,"")</f>
        <v/>
      </c>
      <c r="B21" s="11" t="str">
        <f aca="false">IF(A21="","",B20-Cálculo!$B$6/Cálculo!$B$8)</f>
        <v/>
      </c>
      <c r="C21" s="11" t="str">
        <f aca="false">IF(A21="","",Cálculo!$B$6/Cálculo!$B$8+B21*Cálculo!$B$7/100)</f>
        <v/>
      </c>
      <c r="D21" s="11" t="str">
        <f aca="false">IF(A21="","",D20-(Cálculo!$B$10-D20*Cálculo!$B$7/100))</f>
        <v/>
      </c>
      <c r="E21" s="11" t="str">
        <f aca="false">IF(A21="","",Cálculo!$B$10)</f>
        <v/>
      </c>
    </row>
    <row r="22" customFormat="false" ht="15" hidden="false" customHeight="false" outlineLevel="0" collapsed="false">
      <c r="A22" s="0" t="str">
        <f aca="false">IF(21&lt;=Cálculo!$B$8,21,"")</f>
        <v/>
      </c>
      <c r="B22" s="11" t="str">
        <f aca="false">IF(A22="","",B21-Cálculo!$B$6/Cálculo!$B$8)</f>
        <v/>
      </c>
      <c r="C22" s="11" t="str">
        <f aca="false">IF(A22="","",Cálculo!$B$6/Cálculo!$B$8+B22*Cálculo!$B$7/100)</f>
        <v/>
      </c>
      <c r="D22" s="11" t="str">
        <f aca="false">IF(A22="","",D21-(Cálculo!$B$10-D21*Cálculo!$B$7/100))</f>
        <v/>
      </c>
      <c r="E22" s="11" t="str">
        <f aca="false">IF(A22="","",Cálculo!$B$10)</f>
        <v/>
      </c>
    </row>
    <row r="23" customFormat="false" ht="15" hidden="false" customHeight="false" outlineLevel="0" collapsed="false">
      <c r="A23" s="0" t="str">
        <f aca="false">IF(22&lt;=Cálculo!$B$8,22,"")</f>
        <v/>
      </c>
      <c r="B23" s="11" t="str">
        <f aca="false">IF(A23="","",B22-Cálculo!$B$6/Cálculo!$B$8)</f>
        <v/>
      </c>
      <c r="C23" s="11" t="str">
        <f aca="false">IF(A23="","",Cálculo!$B$6/Cálculo!$B$8+B23*Cálculo!$B$7/100)</f>
        <v/>
      </c>
      <c r="D23" s="11" t="str">
        <f aca="false">IF(A23="","",D22-(Cálculo!$B$10-D22*Cálculo!$B$7/100))</f>
        <v/>
      </c>
      <c r="E23" s="11" t="str">
        <f aca="false">IF(A23="","",Cálculo!$B$10)</f>
        <v/>
      </c>
    </row>
    <row r="24" customFormat="false" ht="15" hidden="false" customHeight="false" outlineLevel="0" collapsed="false">
      <c r="A24" s="0" t="str">
        <f aca="false">IF(23&lt;=Cálculo!$B$8,23,"")</f>
        <v/>
      </c>
      <c r="B24" s="11" t="str">
        <f aca="false">IF(A24="","",B23-Cálculo!$B$6/Cálculo!$B$8)</f>
        <v/>
      </c>
      <c r="C24" s="11" t="str">
        <f aca="false">IF(A24="","",Cálculo!$B$6/Cálculo!$B$8+B24*Cálculo!$B$7/100)</f>
        <v/>
      </c>
      <c r="D24" s="11" t="str">
        <f aca="false">IF(A24="","",D23-(Cálculo!$B$10-D23*Cálculo!$B$7/100))</f>
        <v/>
      </c>
      <c r="E24" s="11" t="str">
        <f aca="false">IF(A24="","",Cálculo!$B$10)</f>
        <v/>
      </c>
    </row>
    <row r="25" customFormat="false" ht="15" hidden="false" customHeight="false" outlineLevel="0" collapsed="false">
      <c r="A25" s="0" t="str">
        <f aca="false">IF(24&lt;=Cálculo!$B$8,24,"")</f>
        <v/>
      </c>
      <c r="B25" s="11" t="str">
        <f aca="false">IF(A25="","",B24-Cálculo!$B$6/Cálculo!$B$8)</f>
        <v/>
      </c>
      <c r="C25" s="11" t="str">
        <f aca="false">IF(A25="","",Cálculo!$B$6/Cálculo!$B$8+B25*Cálculo!$B$7/100)</f>
        <v/>
      </c>
      <c r="D25" s="11" t="str">
        <f aca="false">IF(A25="","",D24-(Cálculo!$B$10-D24*Cálculo!$B$7/100))</f>
        <v/>
      </c>
      <c r="E25" s="11" t="str">
        <f aca="false">IF(A25="","",Cálculo!$B$10)</f>
        <v/>
      </c>
    </row>
    <row r="26" customFormat="false" ht="15" hidden="false" customHeight="false" outlineLevel="0" collapsed="false">
      <c r="A26" s="0" t="str">
        <f aca="false">IF(25&lt;=Cálculo!$B$8,25,"")</f>
        <v/>
      </c>
      <c r="B26" s="11" t="str">
        <f aca="false">IF(A26="","",B25-Cálculo!$B$6/Cálculo!$B$8)</f>
        <v/>
      </c>
      <c r="C26" s="11" t="str">
        <f aca="false">IF(A26="","",Cálculo!$B$6/Cálculo!$B$8+B26*Cálculo!$B$7/100)</f>
        <v/>
      </c>
      <c r="D26" s="11" t="str">
        <f aca="false">IF(A26="","",D25-(Cálculo!$B$10-D25*Cálculo!$B$7/100))</f>
        <v/>
      </c>
      <c r="E26" s="11" t="str">
        <f aca="false">IF(A26="","",Cálculo!$B$10)</f>
        <v/>
      </c>
    </row>
    <row r="27" customFormat="false" ht="15" hidden="false" customHeight="false" outlineLevel="0" collapsed="false">
      <c r="A27" s="0" t="str">
        <f aca="false">IF(26&lt;=Cálculo!$B$8,26,"")</f>
        <v/>
      </c>
      <c r="B27" s="11" t="str">
        <f aca="false">IF(A27="","",B26-Cálculo!$B$6/Cálculo!$B$8)</f>
        <v/>
      </c>
      <c r="C27" s="11" t="str">
        <f aca="false">IF(A27="","",Cálculo!$B$6/Cálculo!$B$8+B27*Cálculo!$B$7/100)</f>
        <v/>
      </c>
      <c r="D27" s="11" t="str">
        <f aca="false">IF(A27="","",D26-(Cálculo!$B$10-D26*Cálculo!$B$7/100))</f>
        <v/>
      </c>
      <c r="E27" s="11" t="str">
        <f aca="false">IF(A27="","",Cálculo!$B$10)</f>
        <v/>
      </c>
    </row>
    <row r="28" customFormat="false" ht="15" hidden="false" customHeight="false" outlineLevel="0" collapsed="false">
      <c r="A28" s="0" t="str">
        <f aca="false">IF(27&lt;=Cálculo!$B$8,27,"")</f>
        <v/>
      </c>
      <c r="B28" s="11" t="str">
        <f aca="false">IF(A28="","",B27-Cálculo!$B$6/Cálculo!$B$8)</f>
        <v/>
      </c>
      <c r="C28" s="11" t="str">
        <f aca="false">IF(A28="","",Cálculo!$B$6/Cálculo!$B$8+B28*Cálculo!$B$7/100)</f>
        <v/>
      </c>
      <c r="D28" s="11" t="str">
        <f aca="false">IF(A28="","",D27-(Cálculo!$B$10-D27*Cálculo!$B$7/100))</f>
        <v/>
      </c>
      <c r="E28" s="11" t="str">
        <f aca="false">IF(A28="","",Cálculo!$B$10)</f>
        <v/>
      </c>
    </row>
    <row r="29" customFormat="false" ht="15" hidden="false" customHeight="false" outlineLevel="0" collapsed="false">
      <c r="A29" s="0" t="str">
        <f aca="false">IF(28&lt;=Cálculo!$B$8,28,"")</f>
        <v/>
      </c>
      <c r="B29" s="11" t="str">
        <f aca="false">IF(A29="","",B28-Cálculo!$B$6/Cálculo!$B$8)</f>
        <v/>
      </c>
      <c r="C29" s="11" t="str">
        <f aca="false">IF(A29="","",Cálculo!$B$6/Cálculo!$B$8+B29*Cálculo!$B$7/100)</f>
        <v/>
      </c>
      <c r="D29" s="11" t="str">
        <f aca="false">IF(A29="","",D28-(Cálculo!$B$10-D28*Cálculo!$B$7/100))</f>
        <v/>
      </c>
      <c r="E29" s="11" t="str">
        <f aca="false">IF(A29="","",Cálculo!$B$10)</f>
        <v/>
      </c>
    </row>
    <row r="30" customFormat="false" ht="15" hidden="false" customHeight="false" outlineLevel="0" collapsed="false">
      <c r="A30" s="0" t="str">
        <f aca="false">IF(29&lt;=Cálculo!$B$8,29,"")</f>
        <v/>
      </c>
      <c r="B30" s="11" t="str">
        <f aca="false">IF(A30="","",B29-Cálculo!$B$6/Cálculo!$B$8)</f>
        <v/>
      </c>
      <c r="C30" s="11" t="str">
        <f aca="false">IF(A30="","",Cálculo!$B$6/Cálculo!$B$8+B30*Cálculo!$B$7/100)</f>
        <v/>
      </c>
      <c r="D30" s="11" t="str">
        <f aca="false">IF(A30="","",D29-(Cálculo!$B$10-D29*Cálculo!$B$7/100))</f>
        <v/>
      </c>
      <c r="E30" s="11" t="str">
        <f aca="false">IF(A30="","",Cálculo!$B$10)</f>
        <v/>
      </c>
    </row>
    <row r="31" customFormat="false" ht="15" hidden="false" customHeight="false" outlineLevel="0" collapsed="false">
      <c r="A31" s="0" t="str">
        <f aca="false">IF(30&lt;=Cálculo!$B$8,30,"")</f>
        <v/>
      </c>
      <c r="B31" s="11" t="str">
        <f aca="false">IF(A31="","",B30-Cálculo!$B$6/Cálculo!$B$8)</f>
        <v/>
      </c>
      <c r="C31" s="11" t="str">
        <f aca="false">IF(A31="","",Cálculo!$B$6/Cálculo!$B$8+B31*Cálculo!$B$7/100)</f>
        <v/>
      </c>
      <c r="D31" s="11" t="str">
        <f aca="false">IF(A31="","",D30-(Cálculo!$B$10-D30*Cálculo!$B$7/100))</f>
        <v/>
      </c>
      <c r="E31" s="11" t="str">
        <f aca="false">IF(A31="","",Cálculo!$B$10)</f>
        <v/>
      </c>
    </row>
    <row r="32" customFormat="false" ht="15" hidden="false" customHeight="false" outlineLevel="0" collapsed="false">
      <c r="A32" s="0" t="str">
        <f aca="false">IF(31&lt;=Cálculo!$B$8,31,"")</f>
        <v/>
      </c>
      <c r="B32" s="11" t="str">
        <f aca="false">IF(A32="","",B31-Cálculo!$B$6/Cálculo!$B$8)</f>
        <v/>
      </c>
      <c r="C32" s="11" t="str">
        <f aca="false">IF(A32="","",Cálculo!$B$6/Cálculo!$B$8+B32*Cálculo!$B$7/100)</f>
        <v/>
      </c>
      <c r="D32" s="11" t="str">
        <f aca="false">IF(A32="","",D31-(Cálculo!$B$10-D31*Cálculo!$B$7/100))</f>
        <v/>
      </c>
      <c r="E32" s="11" t="str">
        <f aca="false">IF(A32="","",Cálculo!$B$10)</f>
        <v/>
      </c>
    </row>
    <row r="33" customFormat="false" ht="15" hidden="false" customHeight="false" outlineLevel="0" collapsed="false">
      <c r="A33" s="0" t="str">
        <f aca="false">IF(32&lt;=Cálculo!$B$8,32,"")</f>
        <v/>
      </c>
      <c r="B33" s="11" t="str">
        <f aca="false">IF(A33="","",B32-Cálculo!$B$6/Cálculo!$B$8)</f>
        <v/>
      </c>
      <c r="C33" s="11" t="str">
        <f aca="false">IF(A33="","",Cálculo!$B$6/Cálculo!$B$8+B33*Cálculo!$B$7/100)</f>
        <v/>
      </c>
      <c r="D33" s="11" t="str">
        <f aca="false">IF(A33="","",D32-(Cálculo!$B$10-D32*Cálculo!$B$7/100))</f>
        <v/>
      </c>
      <c r="E33" s="11" t="str">
        <f aca="false">IF(A33="","",Cálculo!$B$10)</f>
        <v/>
      </c>
    </row>
    <row r="34" customFormat="false" ht="15" hidden="false" customHeight="false" outlineLevel="0" collapsed="false">
      <c r="A34" s="0" t="str">
        <f aca="false">IF(33&lt;=Cálculo!$B$8,33,"")</f>
        <v/>
      </c>
      <c r="B34" s="11" t="str">
        <f aca="false">IF(A34="","",B33-Cálculo!$B$6/Cálculo!$B$8)</f>
        <v/>
      </c>
      <c r="C34" s="11" t="str">
        <f aca="false">IF(A34="","",Cálculo!$B$6/Cálculo!$B$8+B34*Cálculo!$B$7/100)</f>
        <v/>
      </c>
      <c r="D34" s="11" t="str">
        <f aca="false">IF(A34="","",D33-(Cálculo!$B$10-D33*Cálculo!$B$7/100))</f>
        <v/>
      </c>
      <c r="E34" s="11" t="str">
        <f aca="false">IF(A34="","",Cálculo!$B$10)</f>
        <v/>
      </c>
    </row>
    <row r="35" customFormat="false" ht="15" hidden="false" customHeight="false" outlineLevel="0" collapsed="false">
      <c r="A35" s="0" t="str">
        <f aca="false">IF(34&lt;=Cálculo!$B$8,34,"")</f>
        <v/>
      </c>
      <c r="B35" s="11" t="str">
        <f aca="false">IF(A35="","",B34-Cálculo!$B$6/Cálculo!$B$8)</f>
        <v/>
      </c>
      <c r="C35" s="11" t="str">
        <f aca="false">IF(A35="","",Cálculo!$B$6/Cálculo!$B$8+B35*Cálculo!$B$7/100)</f>
        <v/>
      </c>
      <c r="D35" s="11" t="str">
        <f aca="false">IF(A35="","",D34-(Cálculo!$B$10-D34*Cálculo!$B$7/100))</f>
        <v/>
      </c>
      <c r="E35" s="11" t="str">
        <f aca="false">IF(A35="","",Cálculo!$B$10)</f>
        <v/>
      </c>
    </row>
    <row r="36" customFormat="false" ht="15" hidden="false" customHeight="false" outlineLevel="0" collapsed="false">
      <c r="A36" s="0" t="str">
        <f aca="false">IF(35&lt;=Cálculo!$B$8,35,"")</f>
        <v/>
      </c>
      <c r="B36" s="11" t="str">
        <f aca="false">IF(A36="","",B35-Cálculo!$B$6/Cálculo!$B$8)</f>
        <v/>
      </c>
      <c r="C36" s="11" t="str">
        <f aca="false">IF(A36="","",Cálculo!$B$6/Cálculo!$B$8+B36*Cálculo!$B$7/100)</f>
        <v/>
      </c>
      <c r="D36" s="11" t="str">
        <f aca="false">IF(A36="","",D35-(Cálculo!$B$10-D35*Cálculo!$B$7/100))</f>
        <v/>
      </c>
      <c r="E36" s="11" t="str">
        <f aca="false">IF(A36="","",Cálculo!$B$10)</f>
        <v/>
      </c>
    </row>
    <row r="37" customFormat="false" ht="15" hidden="false" customHeight="false" outlineLevel="0" collapsed="false">
      <c r="A37" s="0" t="str">
        <f aca="false">IF(36&lt;=Cálculo!$B$8,36,"")</f>
        <v/>
      </c>
      <c r="B37" s="11" t="str">
        <f aca="false">IF(A37="","",B36-Cálculo!$B$6/Cálculo!$B$8)</f>
        <v/>
      </c>
      <c r="C37" s="11" t="str">
        <f aca="false">IF(A37="","",Cálculo!$B$6/Cálculo!$B$8+B37*Cálculo!$B$7/100)</f>
        <v/>
      </c>
      <c r="D37" s="11" t="str">
        <f aca="false">IF(A37="","",D36-(Cálculo!$B$10-D36*Cálculo!$B$7/100))</f>
        <v/>
      </c>
      <c r="E37" s="11" t="str">
        <f aca="false">IF(A37="","",Cálculo!$B$10)</f>
        <v/>
      </c>
    </row>
    <row r="38" customFormat="false" ht="15" hidden="false" customHeight="false" outlineLevel="0" collapsed="false">
      <c r="A38" s="0" t="str">
        <f aca="false">IF(37&lt;=Cálculo!$B$8,37,"")</f>
        <v/>
      </c>
      <c r="B38" s="11" t="str">
        <f aca="false">IF(A38="","",B37-Cálculo!$B$6/Cálculo!$B$8)</f>
        <v/>
      </c>
      <c r="C38" s="11" t="str">
        <f aca="false">IF(A38="","",Cálculo!$B$6/Cálculo!$B$8+B38*Cálculo!$B$7/100)</f>
        <v/>
      </c>
      <c r="D38" s="11" t="str">
        <f aca="false">IF(A38="","",D37-(Cálculo!$B$10-D37*Cálculo!$B$7/100))</f>
        <v/>
      </c>
      <c r="E38" s="11" t="str">
        <f aca="false">IF(A38="","",Cálculo!$B$10)</f>
        <v/>
      </c>
    </row>
    <row r="39" customFormat="false" ht="15" hidden="false" customHeight="false" outlineLevel="0" collapsed="false">
      <c r="A39" s="0" t="str">
        <f aca="false">IF(38&lt;=Cálculo!$B$8,38,"")</f>
        <v/>
      </c>
      <c r="B39" s="11" t="str">
        <f aca="false">IF(A39="","",B38-Cálculo!$B$6/Cálculo!$B$8)</f>
        <v/>
      </c>
      <c r="C39" s="11" t="str">
        <f aca="false">IF(A39="","",Cálculo!$B$6/Cálculo!$B$8+B39*Cálculo!$B$7/100)</f>
        <v/>
      </c>
      <c r="D39" s="11" t="str">
        <f aca="false">IF(A39="","",D38-(Cálculo!$B$10-D38*Cálculo!$B$7/100))</f>
        <v/>
      </c>
      <c r="E39" s="11" t="str">
        <f aca="false">IF(A39="","",Cálculo!$B$10)</f>
        <v/>
      </c>
    </row>
    <row r="40" customFormat="false" ht="15" hidden="false" customHeight="false" outlineLevel="0" collapsed="false">
      <c r="A40" s="0" t="str">
        <f aca="false">IF(39&lt;=Cálculo!$B$8,39,"")</f>
        <v/>
      </c>
      <c r="B40" s="11" t="str">
        <f aca="false">IF(A40="","",B39-Cálculo!$B$6/Cálculo!$B$8)</f>
        <v/>
      </c>
      <c r="C40" s="11" t="str">
        <f aca="false">IF(A40="","",Cálculo!$B$6/Cálculo!$B$8+B40*Cálculo!$B$7/100)</f>
        <v/>
      </c>
      <c r="D40" s="11" t="str">
        <f aca="false">IF(A40="","",D39-(Cálculo!$B$10-D39*Cálculo!$B$7/100))</f>
        <v/>
      </c>
      <c r="E40" s="11" t="str">
        <f aca="false">IF(A40="","",Cálculo!$B$10)</f>
        <v/>
      </c>
    </row>
    <row r="41" customFormat="false" ht="15" hidden="false" customHeight="false" outlineLevel="0" collapsed="false">
      <c r="A41" s="0" t="str">
        <f aca="false">IF(40&lt;=Cálculo!$B$8,40,"")</f>
        <v/>
      </c>
      <c r="B41" s="11" t="str">
        <f aca="false">IF(A41="","",B40-Cálculo!$B$6/Cálculo!$B$8)</f>
        <v/>
      </c>
      <c r="C41" s="11" t="str">
        <f aca="false">IF(A41="","",Cálculo!$B$6/Cálculo!$B$8+B41*Cálculo!$B$7/100)</f>
        <v/>
      </c>
      <c r="D41" s="11" t="str">
        <f aca="false">IF(A41="","",D40-(Cálculo!$B$10-D40*Cálculo!$B$7/100))</f>
        <v/>
      </c>
      <c r="E41" s="11" t="str">
        <f aca="false">IF(A41="","",Cálculo!$B$10)</f>
        <v/>
      </c>
    </row>
    <row r="42" customFormat="false" ht="15" hidden="false" customHeight="false" outlineLevel="0" collapsed="false">
      <c r="A42" s="0" t="str">
        <f aca="false">IF(41&lt;=Cálculo!$B$8,41,"")</f>
        <v/>
      </c>
      <c r="B42" s="11" t="str">
        <f aca="false">IF(A42="","",B41-Cálculo!$B$6/Cálculo!$B$8)</f>
        <v/>
      </c>
      <c r="C42" s="11" t="str">
        <f aca="false">IF(A42="","",Cálculo!$B$6/Cálculo!$B$8+B42*Cálculo!$B$7/100)</f>
        <v/>
      </c>
      <c r="D42" s="11" t="str">
        <f aca="false">IF(A42="","",D41-(Cálculo!$B$10-D41*Cálculo!$B$7/100))</f>
        <v/>
      </c>
      <c r="E42" s="11" t="str">
        <f aca="false">IF(A42="","",Cálculo!$B$10)</f>
        <v/>
      </c>
    </row>
    <row r="43" customFormat="false" ht="15" hidden="false" customHeight="false" outlineLevel="0" collapsed="false">
      <c r="A43" s="0" t="str">
        <f aca="false">IF(42&lt;=Cálculo!$B$8,42,"")</f>
        <v/>
      </c>
      <c r="B43" s="11" t="str">
        <f aca="false">IF(A43="","",B42-Cálculo!$B$6/Cálculo!$B$8)</f>
        <v/>
      </c>
      <c r="C43" s="11" t="str">
        <f aca="false">IF(A43="","",Cálculo!$B$6/Cálculo!$B$8+B43*Cálculo!$B$7/100)</f>
        <v/>
      </c>
      <c r="D43" s="11" t="str">
        <f aca="false">IF(A43="","",D42-(Cálculo!$B$10-D42*Cálculo!$B$7/100))</f>
        <v/>
      </c>
      <c r="E43" s="11" t="str">
        <f aca="false">IF(A43="","",Cálculo!$B$10)</f>
        <v/>
      </c>
    </row>
    <row r="44" customFormat="false" ht="15" hidden="false" customHeight="false" outlineLevel="0" collapsed="false">
      <c r="A44" s="0" t="str">
        <f aca="false">IF(43&lt;=Cálculo!$B$8,43,"")</f>
        <v/>
      </c>
      <c r="B44" s="11" t="str">
        <f aca="false">IF(A44="","",B43-Cálculo!$B$6/Cálculo!$B$8)</f>
        <v/>
      </c>
      <c r="C44" s="11" t="str">
        <f aca="false">IF(A44="","",Cálculo!$B$6/Cálculo!$B$8+B44*Cálculo!$B$7/100)</f>
        <v/>
      </c>
      <c r="D44" s="11" t="str">
        <f aca="false">IF(A44="","",D43-(Cálculo!$B$10-D43*Cálculo!$B$7/100))</f>
        <v/>
      </c>
      <c r="E44" s="11" t="str">
        <f aca="false">IF(A44="","",Cálculo!$B$10)</f>
        <v/>
      </c>
    </row>
    <row r="45" customFormat="false" ht="15" hidden="false" customHeight="false" outlineLevel="0" collapsed="false">
      <c r="A45" s="0" t="str">
        <f aca="false">IF(44&lt;=Cálculo!$B$8,44,"")</f>
        <v/>
      </c>
      <c r="B45" s="11" t="str">
        <f aca="false">IF(A45="","",B44-Cálculo!$B$6/Cálculo!$B$8)</f>
        <v/>
      </c>
      <c r="C45" s="11" t="str">
        <f aca="false">IF(A45="","",Cálculo!$B$6/Cálculo!$B$8+B45*Cálculo!$B$7/100)</f>
        <v/>
      </c>
      <c r="D45" s="11" t="str">
        <f aca="false">IF(A45="","",D44-(Cálculo!$B$10-D44*Cálculo!$B$7/100))</f>
        <v/>
      </c>
      <c r="E45" s="11" t="str">
        <f aca="false">IF(A45="","",Cálculo!$B$10)</f>
        <v/>
      </c>
    </row>
    <row r="46" customFormat="false" ht="15" hidden="false" customHeight="false" outlineLevel="0" collapsed="false">
      <c r="A46" s="0" t="str">
        <f aca="false">IF(45&lt;=Cálculo!$B$8,45,"")</f>
        <v/>
      </c>
      <c r="B46" s="11" t="str">
        <f aca="false">IF(A46="","",B45-Cálculo!$B$6/Cálculo!$B$8)</f>
        <v/>
      </c>
      <c r="C46" s="11" t="str">
        <f aca="false">IF(A46="","",Cálculo!$B$6/Cálculo!$B$8+B46*Cálculo!$B$7/100)</f>
        <v/>
      </c>
      <c r="D46" s="11" t="str">
        <f aca="false">IF(A46="","",D45-(Cálculo!$B$10-D45*Cálculo!$B$7/100))</f>
        <v/>
      </c>
      <c r="E46" s="11" t="str">
        <f aca="false">IF(A46="","",Cálculo!$B$10)</f>
        <v/>
      </c>
    </row>
    <row r="47" customFormat="false" ht="15" hidden="false" customHeight="false" outlineLevel="0" collapsed="false">
      <c r="A47" s="0" t="str">
        <f aca="false">IF(46&lt;=Cálculo!$B$8,46,"")</f>
        <v/>
      </c>
      <c r="B47" s="11" t="str">
        <f aca="false">IF(A47="","",B46-Cálculo!$B$6/Cálculo!$B$8)</f>
        <v/>
      </c>
      <c r="C47" s="11" t="str">
        <f aca="false">IF(A47="","",Cálculo!$B$6/Cálculo!$B$8+B47*Cálculo!$B$7/100)</f>
        <v/>
      </c>
      <c r="D47" s="11" t="str">
        <f aca="false">IF(A47="","",D46-(Cálculo!$B$10-D46*Cálculo!$B$7/100))</f>
        <v/>
      </c>
      <c r="E47" s="11" t="str">
        <f aca="false">IF(A47="","",Cálculo!$B$10)</f>
        <v/>
      </c>
    </row>
    <row r="48" customFormat="false" ht="15" hidden="false" customHeight="false" outlineLevel="0" collapsed="false">
      <c r="A48" s="0" t="str">
        <f aca="false">IF(47&lt;=Cálculo!$B$8,47,"")</f>
        <v/>
      </c>
      <c r="B48" s="11" t="str">
        <f aca="false">IF(A48="","",B47-Cálculo!$B$6/Cálculo!$B$8)</f>
        <v/>
      </c>
      <c r="C48" s="11" t="str">
        <f aca="false">IF(A48="","",Cálculo!$B$6/Cálculo!$B$8+B48*Cálculo!$B$7/100)</f>
        <v/>
      </c>
      <c r="D48" s="11" t="str">
        <f aca="false">IF(A48="","",D47-(Cálculo!$B$10-D47*Cálculo!$B$7/100))</f>
        <v/>
      </c>
      <c r="E48" s="11" t="str">
        <f aca="false">IF(A48="","",Cálculo!$B$10)</f>
        <v/>
      </c>
    </row>
    <row r="49" customFormat="false" ht="15" hidden="false" customHeight="false" outlineLevel="0" collapsed="false">
      <c r="A49" s="0" t="str">
        <f aca="false">IF(48&lt;=Cálculo!$B$8,48,"")</f>
        <v/>
      </c>
      <c r="B49" s="11" t="str">
        <f aca="false">IF(A49="","",B48-Cálculo!$B$6/Cálculo!$B$8)</f>
        <v/>
      </c>
      <c r="C49" s="11" t="str">
        <f aca="false">IF(A49="","",Cálculo!$B$6/Cálculo!$B$8+B49*Cálculo!$B$7/100)</f>
        <v/>
      </c>
      <c r="D49" s="11" t="str">
        <f aca="false">IF(A49="","",D48-(Cálculo!$B$10-D48*Cálculo!$B$7/100))</f>
        <v/>
      </c>
      <c r="E49" s="11" t="str">
        <f aca="false">IF(A49="","",Cálculo!$B$10)</f>
        <v/>
      </c>
    </row>
    <row r="50" customFormat="false" ht="15" hidden="false" customHeight="false" outlineLevel="0" collapsed="false">
      <c r="A50" s="0" t="str">
        <f aca="false">IF(49&lt;=Cálculo!$B$8,49,"")</f>
        <v/>
      </c>
      <c r="B50" s="11" t="str">
        <f aca="false">IF(A50="","",B49-Cálculo!$B$6/Cálculo!$B$8)</f>
        <v/>
      </c>
      <c r="C50" s="11" t="str">
        <f aca="false">IF(A50="","",Cálculo!$B$6/Cálculo!$B$8+B50*Cálculo!$B$7/100)</f>
        <v/>
      </c>
      <c r="D50" s="11" t="str">
        <f aca="false">IF(A50="","",D49-(Cálculo!$B$10-D49*Cálculo!$B$7/100))</f>
        <v/>
      </c>
      <c r="E50" s="11" t="str">
        <f aca="false">IF(A50="","",Cálculo!$B$10)</f>
        <v/>
      </c>
    </row>
    <row r="51" customFormat="false" ht="15" hidden="false" customHeight="false" outlineLevel="0" collapsed="false">
      <c r="A51" s="0" t="str">
        <f aca="false">IF(50&lt;=Cálculo!$B$8,50,"")</f>
        <v/>
      </c>
      <c r="B51" s="11" t="str">
        <f aca="false">IF(A51="","",B50-Cálculo!$B$6/Cálculo!$B$8)</f>
        <v/>
      </c>
      <c r="C51" s="11" t="str">
        <f aca="false">IF(A51="","",Cálculo!$B$6/Cálculo!$B$8+B51*Cálculo!$B$7/100)</f>
        <v/>
      </c>
      <c r="D51" s="11" t="str">
        <f aca="false">IF(A51="","",D50-(Cálculo!$B$10-D50*Cálculo!$B$7/100))</f>
        <v/>
      </c>
      <c r="E51" s="11" t="str">
        <f aca="false">IF(A51="","",Cálculo!$B$10)</f>
        <v/>
      </c>
    </row>
    <row r="52" customFormat="false" ht="15" hidden="false" customHeight="false" outlineLevel="0" collapsed="false">
      <c r="A52" s="0" t="str">
        <f aca="false">IF(51&lt;=Cálculo!$B$8,51,"")</f>
        <v/>
      </c>
      <c r="B52" s="11" t="str">
        <f aca="false">IF(A52="","",B51-Cálculo!$B$6/Cálculo!$B$8)</f>
        <v/>
      </c>
      <c r="C52" s="11" t="str">
        <f aca="false">IF(A52="","",Cálculo!$B$6/Cálculo!$B$8+B52*Cálculo!$B$7/100)</f>
        <v/>
      </c>
      <c r="D52" s="11" t="str">
        <f aca="false">IF(A52="","",D51-(Cálculo!$B$10-D51*Cálculo!$B$7/100))</f>
        <v/>
      </c>
      <c r="E52" s="11" t="str">
        <f aca="false">IF(A52="","",Cálculo!$B$10)</f>
        <v/>
      </c>
    </row>
    <row r="53" customFormat="false" ht="15" hidden="false" customHeight="false" outlineLevel="0" collapsed="false">
      <c r="A53" s="0" t="str">
        <f aca="false">IF(52&lt;=Cálculo!$B$8,52,"")</f>
        <v/>
      </c>
      <c r="B53" s="11" t="str">
        <f aca="false">IF(A53="","",B52-Cálculo!$B$6/Cálculo!$B$8)</f>
        <v/>
      </c>
      <c r="C53" s="11" t="str">
        <f aca="false">IF(A53="","",Cálculo!$B$6/Cálculo!$B$8+B53*Cálculo!$B$7/100)</f>
        <v/>
      </c>
      <c r="D53" s="11" t="str">
        <f aca="false">IF(A53="","",D52-(Cálculo!$B$10-D52*Cálculo!$B$7/100))</f>
        <v/>
      </c>
      <c r="E53" s="11" t="str">
        <f aca="false">IF(A53="","",Cálculo!$B$10)</f>
        <v/>
      </c>
    </row>
    <row r="54" customFormat="false" ht="15" hidden="false" customHeight="false" outlineLevel="0" collapsed="false">
      <c r="A54" s="0" t="str">
        <f aca="false">IF(53&lt;=Cálculo!$B$8,53,"")</f>
        <v/>
      </c>
      <c r="B54" s="11" t="str">
        <f aca="false">IF(A54="","",B53-Cálculo!$B$6/Cálculo!$B$8)</f>
        <v/>
      </c>
      <c r="C54" s="11" t="str">
        <f aca="false">IF(A54="","",Cálculo!$B$6/Cálculo!$B$8+B54*Cálculo!$B$7/100)</f>
        <v/>
      </c>
      <c r="D54" s="11" t="str">
        <f aca="false">IF(A54="","",D53-(Cálculo!$B$10-D53*Cálculo!$B$7/100))</f>
        <v/>
      </c>
      <c r="E54" s="11" t="str">
        <f aca="false">IF(A54="","",Cálculo!$B$10)</f>
        <v/>
      </c>
    </row>
    <row r="55" customFormat="false" ht="15" hidden="false" customHeight="false" outlineLevel="0" collapsed="false">
      <c r="A55" s="0" t="str">
        <f aca="false">IF(54&lt;=Cálculo!$B$8,54,"")</f>
        <v/>
      </c>
      <c r="B55" s="11" t="str">
        <f aca="false">IF(A55="","",B54-Cálculo!$B$6/Cálculo!$B$8)</f>
        <v/>
      </c>
      <c r="C55" s="11" t="str">
        <f aca="false">IF(A55="","",Cálculo!$B$6/Cálculo!$B$8+B55*Cálculo!$B$7/100)</f>
        <v/>
      </c>
      <c r="D55" s="11" t="str">
        <f aca="false">IF(A55="","",D54-(Cálculo!$B$10-D54*Cálculo!$B$7/100))</f>
        <v/>
      </c>
      <c r="E55" s="11" t="str">
        <f aca="false">IF(A55="","",Cálculo!$B$10)</f>
        <v/>
      </c>
    </row>
    <row r="56" customFormat="false" ht="15" hidden="false" customHeight="false" outlineLevel="0" collapsed="false">
      <c r="A56" s="0" t="str">
        <f aca="false">IF(55&lt;=Cálculo!$B$8,55,"")</f>
        <v/>
      </c>
      <c r="B56" s="11" t="str">
        <f aca="false">IF(A56="","",B55-Cálculo!$B$6/Cálculo!$B$8)</f>
        <v/>
      </c>
      <c r="C56" s="11" t="str">
        <f aca="false">IF(A56="","",Cálculo!$B$6/Cálculo!$B$8+B56*Cálculo!$B$7/100)</f>
        <v/>
      </c>
      <c r="D56" s="11" t="str">
        <f aca="false">IF(A56="","",D55-(Cálculo!$B$10-D55*Cálculo!$B$7/100))</f>
        <v/>
      </c>
      <c r="E56" s="11" t="str">
        <f aca="false">IF(A56="","",Cálculo!$B$10)</f>
        <v/>
      </c>
    </row>
    <row r="57" customFormat="false" ht="15" hidden="false" customHeight="false" outlineLevel="0" collapsed="false">
      <c r="A57" s="0" t="str">
        <f aca="false">IF(56&lt;=Cálculo!$B$8,56,"")</f>
        <v/>
      </c>
      <c r="B57" s="11" t="str">
        <f aca="false">IF(A57="","",B56-Cálculo!$B$6/Cálculo!$B$8)</f>
        <v/>
      </c>
      <c r="C57" s="11" t="str">
        <f aca="false">IF(A57="","",Cálculo!$B$6/Cálculo!$B$8+B57*Cálculo!$B$7/100)</f>
        <v/>
      </c>
      <c r="D57" s="11" t="str">
        <f aca="false">IF(A57="","",D56-(Cálculo!$B$10-D56*Cálculo!$B$7/100))</f>
        <v/>
      </c>
      <c r="E57" s="11" t="str">
        <f aca="false">IF(A57="","",Cálculo!$B$10)</f>
        <v/>
      </c>
    </row>
    <row r="58" customFormat="false" ht="15" hidden="false" customHeight="false" outlineLevel="0" collapsed="false">
      <c r="A58" s="0" t="str">
        <f aca="false">IF(57&lt;=Cálculo!$B$8,57,"")</f>
        <v/>
      </c>
      <c r="B58" s="11" t="str">
        <f aca="false">IF(A58="","",B57-Cálculo!$B$6/Cálculo!$B$8)</f>
        <v/>
      </c>
      <c r="C58" s="11" t="str">
        <f aca="false">IF(A58="","",Cálculo!$B$6/Cálculo!$B$8+B58*Cálculo!$B$7/100)</f>
        <v/>
      </c>
      <c r="D58" s="11" t="str">
        <f aca="false">IF(A58="","",D57-(Cálculo!$B$10-D57*Cálculo!$B$7/100))</f>
        <v/>
      </c>
      <c r="E58" s="11" t="str">
        <f aca="false">IF(A58="","",Cálculo!$B$10)</f>
        <v/>
      </c>
    </row>
    <row r="59" customFormat="false" ht="15" hidden="false" customHeight="false" outlineLevel="0" collapsed="false">
      <c r="A59" s="0" t="str">
        <f aca="false">IF(58&lt;=Cálculo!$B$8,58,"")</f>
        <v/>
      </c>
      <c r="B59" s="11" t="str">
        <f aca="false">IF(A59="","",B58-Cálculo!$B$6/Cálculo!$B$8)</f>
        <v/>
      </c>
      <c r="C59" s="11" t="str">
        <f aca="false">IF(A59="","",Cálculo!$B$6/Cálculo!$B$8+B59*Cálculo!$B$7/100)</f>
        <v/>
      </c>
      <c r="D59" s="11" t="str">
        <f aca="false">IF(A59="","",D58-(Cálculo!$B$10-D58*Cálculo!$B$7/100))</f>
        <v/>
      </c>
      <c r="E59" s="11" t="str">
        <f aca="false">IF(A59="","",Cálculo!$B$10)</f>
        <v/>
      </c>
    </row>
    <row r="60" customFormat="false" ht="15" hidden="false" customHeight="false" outlineLevel="0" collapsed="false">
      <c r="A60" s="0" t="str">
        <f aca="false">IF(59&lt;=Cálculo!$B$8,59,"")</f>
        <v/>
      </c>
      <c r="B60" s="11" t="str">
        <f aca="false">IF(A60="","",B59-Cálculo!$B$6/Cálculo!$B$8)</f>
        <v/>
      </c>
      <c r="C60" s="11" t="str">
        <f aca="false">IF(A60="","",Cálculo!$B$6/Cálculo!$B$8+B60*Cálculo!$B$7/100)</f>
        <v/>
      </c>
      <c r="D60" s="11" t="str">
        <f aca="false">IF(A60="","",D59-(Cálculo!$B$10-D59*Cálculo!$B$7/100))</f>
        <v/>
      </c>
      <c r="E60" s="11" t="str">
        <f aca="false">IF(A60="","",Cálculo!$B$10)</f>
        <v/>
      </c>
    </row>
    <row r="61" customFormat="false" ht="15" hidden="false" customHeight="false" outlineLevel="0" collapsed="false">
      <c r="A61" s="0" t="str">
        <f aca="false">IF(60&lt;=Cálculo!$B$8,60,"")</f>
        <v/>
      </c>
      <c r="B61" s="11" t="str">
        <f aca="false">IF(A61="","",B60-Cálculo!$B$6/Cálculo!$B$8)</f>
        <v/>
      </c>
      <c r="C61" s="11" t="str">
        <f aca="false">IF(A61="","",Cálculo!$B$6/Cálculo!$B$8+B61*Cálculo!$B$7/100)</f>
        <v/>
      </c>
      <c r="D61" s="11" t="str">
        <f aca="false">IF(A61="","",D60-(Cálculo!$B$10-D60*Cálculo!$B$7/100))</f>
        <v/>
      </c>
      <c r="E61" s="11" t="str">
        <f aca="false">IF(A61="","",Cálculo!$B$10)</f>
        <v/>
      </c>
    </row>
    <row r="62" customFormat="false" ht="15" hidden="false" customHeight="false" outlineLevel="0" collapsed="false">
      <c r="A62" s="0" t="str">
        <f aca="false">IF(61&lt;=Cálculo!$B$8,61,"")</f>
        <v/>
      </c>
      <c r="B62" s="11" t="str">
        <f aca="false">IF(A62="","",B61-Cálculo!$B$6/Cálculo!$B$8)</f>
        <v/>
      </c>
      <c r="C62" s="11" t="str">
        <f aca="false">IF(A62="","",Cálculo!$B$6/Cálculo!$B$8+B62*Cálculo!$B$7/100)</f>
        <v/>
      </c>
      <c r="D62" s="11" t="str">
        <f aca="false">IF(A62="","",D61-(Cálculo!$B$10-D61*Cálculo!$B$7/100))</f>
        <v/>
      </c>
      <c r="E62" s="11" t="str">
        <f aca="false">IF(A62="","",Cálculo!$B$10)</f>
        <v/>
      </c>
    </row>
    <row r="63" customFormat="false" ht="15" hidden="false" customHeight="false" outlineLevel="0" collapsed="false">
      <c r="A63" s="0" t="str">
        <f aca="false">IF(62&lt;=Cálculo!$B$8,62,"")</f>
        <v/>
      </c>
      <c r="B63" s="11" t="str">
        <f aca="false">IF(A63="","",B62-Cálculo!$B$6/Cálculo!$B$8)</f>
        <v/>
      </c>
      <c r="C63" s="11" t="str">
        <f aca="false">IF(A63="","",Cálculo!$B$6/Cálculo!$B$8+B63*Cálculo!$B$7/100)</f>
        <v/>
      </c>
      <c r="D63" s="11" t="str">
        <f aca="false">IF(A63="","",D62-(Cálculo!$B$10-D62*Cálculo!$B$7/100))</f>
        <v/>
      </c>
      <c r="E63" s="11" t="str">
        <f aca="false">IF(A63="","",Cálculo!$B$10)</f>
        <v/>
      </c>
    </row>
    <row r="64" customFormat="false" ht="15" hidden="false" customHeight="false" outlineLevel="0" collapsed="false">
      <c r="A64" s="0" t="str">
        <f aca="false">IF(63&lt;=Cálculo!$B$8,63,"")</f>
        <v/>
      </c>
      <c r="B64" s="11" t="str">
        <f aca="false">IF(A64="","",B63-Cálculo!$B$6/Cálculo!$B$8)</f>
        <v/>
      </c>
      <c r="C64" s="11" t="str">
        <f aca="false">IF(A64="","",Cálculo!$B$6/Cálculo!$B$8+B64*Cálculo!$B$7/100)</f>
        <v/>
      </c>
      <c r="D64" s="11" t="str">
        <f aca="false">IF(A64="","",D63-(Cálculo!$B$10-D63*Cálculo!$B$7/100))</f>
        <v/>
      </c>
      <c r="E64" s="11" t="str">
        <f aca="false">IF(A64="","",Cálculo!$B$10)</f>
        <v/>
      </c>
    </row>
    <row r="65" customFormat="false" ht="15" hidden="false" customHeight="false" outlineLevel="0" collapsed="false">
      <c r="A65" s="0" t="str">
        <f aca="false">IF(64&lt;=Cálculo!$B$8,64,"")</f>
        <v/>
      </c>
      <c r="B65" s="11" t="str">
        <f aca="false">IF(A65="","",B64-Cálculo!$B$6/Cálculo!$B$8)</f>
        <v/>
      </c>
      <c r="C65" s="11" t="str">
        <f aca="false">IF(A65="","",Cálculo!$B$6/Cálculo!$B$8+B65*Cálculo!$B$7/100)</f>
        <v/>
      </c>
      <c r="D65" s="11" t="str">
        <f aca="false">IF(A65="","",D64-(Cálculo!$B$10-D64*Cálculo!$B$7/100))</f>
        <v/>
      </c>
      <c r="E65" s="11" t="str">
        <f aca="false">IF(A65="","",Cálculo!$B$10)</f>
        <v/>
      </c>
    </row>
    <row r="66" customFormat="false" ht="15" hidden="false" customHeight="false" outlineLevel="0" collapsed="false">
      <c r="A66" s="0" t="str">
        <f aca="false">IF(65&lt;=Cálculo!$B$8,65,"")</f>
        <v/>
      </c>
      <c r="B66" s="11" t="str">
        <f aca="false">IF(A66="","",B65-Cálculo!$B$6/Cálculo!$B$8)</f>
        <v/>
      </c>
      <c r="C66" s="11" t="str">
        <f aca="false">IF(A66="","",Cálculo!$B$6/Cálculo!$B$8+B66*Cálculo!$B$7/100)</f>
        <v/>
      </c>
      <c r="D66" s="11" t="str">
        <f aca="false">IF(A66="","",D65-(Cálculo!$B$10-D65*Cálculo!$B$7/100))</f>
        <v/>
      </c>
      <c r="E66" s="11" t="str">
        <f aca="false">IF(A66="","",Cálculo!$B$10)</f>
        <v/>
      </c>
    </row>
    <row r="67" customFormat="false" ht="15" hidden="false" customHeight="false" outlineLevel="0" collapsed="false">
      <c r="A67" s="0" t="str">
        <f aca="false">IF(66&lt;=Cálculo!$B$8,66,"")</f>
        <v/>
      </c>
      <c r="B67" s="11" t="str">
        <f aca="false">IF(A67="","",B66-Cálculo!$B$6/Cálculo!$B$8)</f>
        <v/>
      </c>
      <c r="C67" s="11" t="str">
        <f aca="false">IF(A67="","",Cálculo!$B$6/Cálculo!$B$8+B67*Cálculo!$B$7/100)</f>
        <v/>
      </c>
      <c r="D67" s="11" t="str">
        <f aca="false">IF(A67="","",D66-(Cálculo!$B$10-D66*Cálculo!$B$7/100))</f>
        <v/>
      </c>
      <c r="E67" s="11" t="str">
        <f aca="false">IF(A67="","",Cálculo!$B$10)</f>
        <v/>
      </c>
    </row>
    <row r="68" customFormat="false" ht="15" hidden="false" customHeight="false" outlineLevel="0" collapsed="false">
      <c r="A68" s="0" t="str">
        <f aca="false">IF(67&lt;=Cálculo!$B$8,67,"")</f>
        <v/>
      </c>
      <c r="B68" s="11" t="str">
        <f aca="false">IF(A68="","",B67-Cálculo!$B$6/Cálculo!$B$8)</f>
        <v/>
      </c>
      <c r="C68" s="11" t="str">
        <f aca="false">IF(A68="","",Cálculo!$B$6/Cálculo!$B$8+B68*Cálculo!$B$7/100)</f>
        <v/>
      </c>
      <c r="D68" s="11" t="str">
        <f aca="false">IF(A68="","",D67-(Cálculo!$B$10-D67*Cálculo!$B$7/100))</f>
        <v/>
      </c>
      <c r="E68" s="11" t="str">
        <f aca="false">IF(A68="","",Cálculo!$B$10)</f>
        <v/>
      </c>
    </row>
    <row r="69" customFormat="false" ht="15" hidden="false" customHeight="false" outlineLevel="0" collapsed="false">
      <c r="A69" s="0" t="str">
        <f aca="false">IF(68&lt;=Cálculo!$B$8,68,"")</f>
        <v/>
      </c>
      <c r="B69" s="11" t="str">
        <f aca="false">IF(A69="","",B68-Cálculo!$B$6/Cálculo!$B$8)</f>
        <v/>
      </c>
      <c r="C69" s="11" t="str">
        <f aca="false">IF(A69="","",Cálculo!$B$6/Cálculo!$B$8+B69*Cálculo!$B$7/100)</f>
        <v/>
      </c>
      <c r="D69" s="11" t="str">
        <f aca="false">IF(A69="","",D68-(Cálculo!$B$10-D68*Cálculo!$B$7/100))</f>
        <v/>
      </c>
      <c r="E69" s="11" t="str">
        <f aca="false">IF(A69="","",Cálculo!$B$10)</f>
        <v/>
      </c>
    </row>
    <row r="70" customFormat="false" ht="15" hidden="false" customHeight="false" outlineLevel="0" collapsed="false">
      <c r="A70" s="0" t="str">
        <f aca="false">IF(69&lt;=Cálculo!$B$8,69,"")</f>
        <v/>
      </c>
      <c r="B70" s="11" t="str">
        <f aca="false">IF(A70="","",B69-Cálculo!$B$6/Cálculo!$B$8)</f>
        <v/>
      </c>
      <c r="C70" s="11" t="str">
        <f aca="false">IF(A70="","",Cálculo!$B$6/Cálculo!$B$8+B70*Cálculo!$B$7/100)</f>
        <v/>
      </c>
      <c r="D70" s="11" t="str">
        <f aca="false">IF(A70="","",D69-(Cálculo!$B$10-D69*Cálculo!$B$7/100))</f>
        <v/>
      </c>
      <c r="E70" s="11" t="str">
        <f aca="false">IF(A70="","",Cálculo!$B$10)</f>
        <v/>
      </c>
    </row>
    <row r="71" customFormat="false" ht="15" hidden="false" customHeight="false" outlineLevel="0" collapsed="false">
      <c r="A71" s="0" t="str">
        <f aca="false">IF(70&lt;=Cálculo!$B$8,70,"")</f>
        <v/>
      </c>
      <c r="B71" s="11" t="str">
        <f aca="false">IF(A71="","",B70-Cálculo!$B$6/Cálculo!$B$8)</f>
        <v/>
      </c>
      <c r="C71" s="11" t="str">
        <f aca="false">IF(A71="","",Cálculo!$B$6/Cálculo!$B$8+B71*Cálculo!$B$7/100)</f>
        <v/>
      </c>
      <c r="D71" s="11" t="str">
        <f aca="false">IF(A71="","",D70-(Cálculo!$B$10-D70*Cálculo!$B$7/100))</f>
        <v/>
      </c>
      <c r="E71" s="11" t="str">
        <f aca="false">IF(A71="","",Cálculo!$B$10)</f>
        <v/>
      </c>
    </row>
    <row r="72" customFormat="false" ht="15" hidden="false" customHeight="false" outlineLevel="0" collapsed="false">
      <c r="A72" s="0" t="str">
        <f aca="false">IF(71&lt;=Cálculo!$B$8,71,"")</f>
        <v/>
      </c>
      <c r="B72" s="11" t="str">
        <f aca="false">IF(A72="","",B71-Cálculo!$B$6/Cálculo!$B$8)</f>
        <v/>
      </c>
      <c r="C72" s="11" t="str">
        <f aca="false">IF(A72="","",Cálculo!$B$6/Cálculo!$B$8+B72*Cálculo!$B$7/100)</f>
        <v/>
      </c>
      <c r="D72" s="11" t="str">
        <f aca="false">IF(A72="","",D71-(Cálculo!$B$10-D71*Cálculo!$B$7/100))</f>
        <v/>
      </c>
      <c r="E72" s="11" t="str">
        <f aca="false">IF(A72="","",Cálculo!$B$10)</f>
        <v/>
      </c>
    </row>
    <row r="73" customFormat="false" ht="15" hidden="false" customHeight="false" outlineLevel="0" collapsed="false">
      <c r="A73" s="0" t="str">
        <f aca="false">IF(72&lt;=Cálculo!$B$8,72,"")</f>
        <v/>
      </c>
      <c r="B73" s="11" t="str">
        <f aca="false">IF(A73="","",B72-Cálculo!$B$6/Cálculo!$B$8)</f>
        <v/>
      </c>
      <c r="C73" s="11" t="str">
        <f aca="false">IF(A73="","",Cálculo!$B$6/Cálculo!$B$8+B73*Cálculo!$B$7/100)</f>
        <v/>
      </c>
      <c r="D73" s="11" t="str">
        <f aca="false">IF(A73="","",D72-(Cálculo!$B$10-D72*Cálculo!$B$7/100))</f>
        <v/>
      </c>
      <c r="E73" s="11" t="str">
        <f aca="false">IF(A73="","",Cálculo!$B$10)</f>
        <v/>
      </c>
    </row>
    <row r="74" customFormat="false" ht="15" hidden="false" customHeight="false" outlineLevel="0" collapsed="false">
      <c r="A74" s="0" t="str">
        <f aca="false">IF(73&lt;=Cálculo!$B$8,73,"")</f>
        <v/>
      </c>
      <c r="B74" s="11" t="str">
        <f aca="false">IF(A74="","",B73-Cálculo!$B$6/Cálculo!$B$8)</f>
        <v/>
      </c>
      <c r="C74" s="11" t="str">
        <f aca="false">IF(A74="","",Cálculo!$B$6/Cálculo!$B$8+B74*Cálculo!$B$7/100)</f>
        <v/>
      </c>
      <c r="D74" s="11" t="str">
        <f aca="false">IF(A74="","",D73-(Cálculo!$B$10-D73*Cálculo!$B$7/100))</f>
        <v/>
      </c>
      <c r="E74" s="11" t="str">
        <f aca="false">IF(A74="","",Cálculo!$B$10)</f>
        <v/>
      </c>
    </row>
    <row r="75" customFormat="false" ht="15" hidden="false" customHeight="false" outlineLevel="0" collapsed="false">
      <c r="A75" s="0" t="str">
        <f aca="false">IF(74&lt;=Cálculo!$B$8,74,"")</f>
        <v/>
      </c>
      <c r="B75" s="11" t="str">
        <f aca="false">IF(A75="","",B74-Cálculo!$B$6/Cálculo!$B$8)</f>
        <v/>
      </c>
      <c r="C75" s="11" t="str">
        <f aca="false">IF(A75="","",Cálculo!$B$6/Cálculo!$B$8+B75*Cálculo!$B$7/100)</f>
        <v/>
      </c>
      <c r="D75" s="11" t="str">
        <f aca="false">IF(A75="","",D74-(Cálculo!$B$10-D74*Cálculo!$B$7/100))</f>
        <v/>
      </c>
      <c r="E75" s="11" t="str">
        <f aca="false">IF(A75="","",Cálculo!$B$10)</f>
        <v/>
      </c>
    </row>
    <row r="76" customFormat="false" ht="15" hidden="false" customHeight="false" outlineLevel="0" collapsed="false">
      <c r="A76" s="0" t="str">
        <f aca="false">IF(75&lt;=Cálculo!$B$8,75,"")</f>
        <v/>
      </c>
      <c r="B76" s="11" t="str">
        <f aca="false">IF(A76="","",B75-Cálculo!$B$6/Cálculo!$B$8)</f>
        <v/>
      </c>
      <c r="C76" s="11" t="str">
        <f aca="false">IF(A76="","",Cálculo!$B$6/Cálculo!$B$8+B76*Cálculo!$B$7/100)</f>
        <v/>
      </c>
      <c r="D76" s="11" t="str">
        <f aca="false">IF(A76="","",D75-(Cálculo!$B$10-D75*Cálculo!$B$7/100))</f>
        <v/>
      </c>
      <c r="E76" s="11" t="str">
        <f aca="false">IF(A76="","",Cálculo!$B$10)</f>
        <v/>
      </c>
    </row>
    <row r="77" customFormat="false" ht="15" hidden="false" customHeight="false" outlineLevel="0" collapsed="false">
      <c r="A77" s="0" t="str">
        <f aca="false">IF(76&lt;=Cálculo!$B$8,76,"")</f>
        <v/>
      </c>
      <c r="B77" s="11" t="str">
        <f aca="false">IF(A77="","",B76-Cálculo!$B$6/Cálculo!$B$8)</f>
        <v/>
      </c>
      <c r="C77" s="11" t="str">
        <f aca="false">IF(A77="","",Cálculo!$B$6/Cálculo!$B$8+B77*Cálculo!$B$7/100)</f>
        <v/>
      </c>
      <c r="D77" s="11" t="str">
        <f aca="false">IF(A77="","",D76-(Cálculo!$B$10-D76*Cálculo!$B$7/100))</f>
        <v/>
      </c>
      <c r="E77" s="11" t="str">
        <f aca="false">IF(A77="","",Cálculo!$B$10)</f>
        <v/>
      </c>
    </row>
    <row r="78" customFormat="false" ht="15" hidden="false" customHeight="false" outlineLevel="0" collapsed="false">
      <c r="A78" s="0" t="str">
        <f aca="false">IF(77&lt;=Cálculo!$B$8,77,"")</f>
        <v/>
      </c>
      <c r="B78" s="11" t="str">
        <f aca="false">IF(A78="","",B77-Cálculo!$B$6/Cálculo!$B$8)</f>
        <v/>
      </c>
      <c r="C78" s="11" t="str">
        <f aca="false">IF(A78="","",Cálculo!$B$6/Cálculo!$B$8+B78*Cálculo!$B$7/100)</f>
        <v/>
      </c>
      <c r="D78" s="11" t="str">
        <f aca="false">IF(A78="","",D77-(Cálculo!$B$10-D77*Cálculo!$B$7/100))</f>
        <v/>
      </c>
      <c r="E78" s="11" t="str">
        <f aca="false">IF(A78="","",Cálculo!$B$10)</f>
        <v/>
      </c>
    </row>
    <row r="79" customFormat="false" ht="15" hidden="false" customHeight="false" outlineLevel="0" collapsed="false">
      <c r="A79" s="0" t="str">
        <f aca="false">IF(78&lt;=Cálculo!$B$8,78,"")</f>
        <v/>
      </c>
      <c r="B79" s="11" t="str">
        <f aca="false">IF(A79="","",B78-Cálculo!$B$6/Cálculo!$B$8)</f>
        <v/>
      </c>
      <c r="C79" s="11" t="str">
        <f aca="false">IF(A79="","",Cálculo!$B$6/Cálculo!$B$8+B79*Cálculo!$B$7/100)</f>
        <v/>
      </c>
      <c r="D79" s="11" t="str">
        <f aca="false">IF(A79="","",D78-(Cálculo!$B$10-D78*Cálculo!$B$7/100))</f>
        <v/>
      </c>
      <c r="E79" s="11" t="str">
        <f aca="false">IF(A79="","",Cálculo!$B$10)</f>
        <v/>
      </c>
    </row>
    <row r="80" customFormat="false" ht="15" hidden="false" customHeight="false" outlineLevel="0" collapsed="false">
      <c r="A80" s="0" t="str">
        <f aca="false">IF(79&lt;=Cálculo!$B$8,79,"")</f>
        <v/>
      </c>
      <c r="B80" s="11" t="str">
        <f aca="false">IF(A80="","",B79-Cálculo!$B$6/Cálculo!$B$8)</f>
        <v/>
      </c>
      <c r="C80" s="11" t="str">
        <f aca="false">IF(A80="","",Cálculo!$B$6/Cálculo!$B$8+B80*Cálculo!$B$7/100)</f>
        <v/>
      </c>
      <c r="D80" s="11" t="str">
        <f aca="false">IF(A80="","",D79-(Cálculo!$B$10-D79*Cálculo!$B$7/100))</f>
        <v/>
      </c>
      <c r="E80" s="11" t="str">
        <f aca="false">IF(A80="","",Cálculo!$B$10)</f>
        <v/>
      </c>
    </row>
    <row r="81" customFormat="false" ht="15" hidden="false" customHeight="false" outlineLevel="0" collapsed="false">
      <c r="A81" s="0" t="str">
        <f aca="false">IF(80&lt;=Cálculo!$B$8,80,"")</f>
        <v/>
      </c>
      <c r="B81" s="11" t="str">
        <f aca="false">IF(A81="","",B80-Cálculo!$B$6/Cálculo!$B$8)</f>
        <v/>
      </c>
      <c r="C81" s="11" t="str">
        <f aca="false">IF(A81="","",Cálculo!$B$6/Cálculo!$B$8+B81*Cálculo!$B$7/100)</f>
        <v/>
      </c>
      <c r="D81" s="11" t="str">
        <f aca="false">IF(A81="","",D80-(Cálculo!$B$10-D80*Cálculo!$B$7/100))</f>
        <v/>
      </c>
      <c r="E81" s="11" t="str">
        <f aca="false">IF(A81="","",Cálculo!$B$10)</f>
        <v/>
      </c>
    </row>
    <row r="82" customFormat="false" ht="15" hidden="false" customHeight="false" outlineLevel="0" collapsed="false">
      <c r="A82" s="0" t="str">
        <f aca="false">IF(81&lt;=Cálculo!$B$8,81,"")</f>
        <v/>
      </c>
      <c r="B82" s="11" t="str">
        <f aca="false">IF(A82="","",B81-Cálculo!$B$6/Cálculo!$B$8)</f>
        <v/>
      </c>
      <c r="C82" s="11" t="str">
        <f aca="false">IF(A82="","",Cálculo!$B$6/Cálculo!$B$8+B82*Cálculo!$B$7/100)</f>
        <v/>
      </c>
      <c r="D82" s="11" t="str">
        <f aca="false">IF(A82="","",D81-(Cálculo!$B$10-D81*Cálculo!$B$7/100))</f>
        <v/>
      </c>
      <c r="E82" s="11" t="str">
        <f aca="false">IF(A82="","",Cálculo!$B$10)</f>
        <v/>
      </c>
    </row>
    <row r="83" customFormat="false" ht="15" hidden="false" customHeight="false" outlineLevel="0" collapsed="false">
      <c r="A83" s="0" t="str">
        <f aca="false">IF(82&lt;=Cálculo!$B$8,82,"")</f>
        <v/>
      </c>
      <c r="B83" s="11" t="str">
        <f aca="false">IF(A83="","",B82-Cálculo!$B$6/Cálculo!$B$8)</f>
        <v/>
      </c>
      <c r="C83" s="11" t="str">
        <f aca="false">IF(A83="","",Cálculo!$B$6/Cálculo!$B$8+B83*Cálculo!$B$7/100)</f>
        <v/>
      </c>
      <c r="D83" s="11" t="str">
        <f aca="false">IF(A83="","",D82-(Cálculo!$B$10-D82*Cálculo!$B$7/100))</f>
        <v/>
      </c>
      <c r="E83" s="11" t="str">
        <f aca="false">IF(A83="","",Cálculo!$B$10)</f>
        <v/>
      </c>
    </row>
    <row r="84" customFormat="false" ht="15" hidden="false" customHeight="false" outlineLevel="0" collapsed="false">
      <c r="A84" s="0" t="str">
        <f aca="false">IF(83&lt;=Cálculo!$B$8,83,"")</f>
        <v/>
      </c>
      <c r="B84" s="11" t="str">
        <f aca="false">IF(A84="","",B83-Cálculo!$B$6/Cálculo!$B$8)</f>
        <v/>
      </c>
      <c r="C84" s="11" t="str">
        <f aca="false">IF(A84="","",Cálculo!$B$6/Cálculo!$B$8+B84*Cálculo!$B$7/100)</f>
        <v/>
      </c>
      <c r="D84" s="11" t="str">
        <f aca="false">IF(A84="","",D83-(Cálculo!$B$10-D83*Cálculo!$B$7/100))</f>
        <v/>
      </c>
      <c r="E84" s="11" t="str">
        <f aca="false">IF(A84="","",Cálculo!$B$10)</f>
        <v/>
      </c>
    </row>
    <row r="85" customFormat="false" ht="15" hidden="false" customHeight="false" outlineLevel="0" collapsed="false">
      <c r="A85" s="0" t="str">
        <f aca="false">IF(84&lt;=Cálculo!$B$8,84,"")</f>
        <v/>
      </c>
      <c r="B85" s="11" t="str">
        <f aca="false">IF(A85="","",B84-Cálculo!$B$6/Cálculo!$B$8)</f>
        <v/>
      </c>
      <c r="C85" s="11" t="str">
        <f aca="false">IF(A85="","",Cálculo!$B$6/Cálculo!$B$8+B85*Cálculo!$B$7/100)</f>
        <v/>
      </c>
      <c r="D85" s="11" t="str">
        <f aca="false">IF(A85="","",D84-(Cálculo!$B$10-D84*Cálculo!$B$7/100))</f>
        <v/>
      </c>
      <c r="E85" s="11" t="str">
        <f aca="false">IF(A85="","",Cálculo!$B$10)</f>
        <v/>
      </c>
    </row>
    <row r="86" customFormat="false" ht="15" hidden="false" customHeight="false" outlineLevel="0" collapsed="false">
      <c r="A86" s="0" t="str">
        <f aca="false">IF(85&lt;=Cálculo!$B$8,85,"")</f>
        <v/>
      </c>
      <c r="B86" s="11" t="str">
        <f aca="false">IF(A86="","",B85-Cálculo!$B$6/Cálculo!$B$8)</f>
        <v/>
      </c>
      <c r="C86" s="11" t="str">
        <f aca="false">IF(A86="","",Cálculo!$B$6/Cálculo!$B$8+B86*Cálculo!$B$7/100)</f>
        <v/>
      </c>
      <c r="D86" s="11" t="str">
        <f aca="false">IF(A86="","",D85-(Cálculo!$B$10-D85*Cálculo!$B$7/100))</f>
        <v/>
      </c>
      <c r="E86" s="11" t="str">
        <f aca="false">IF(A86="","",Cálculo!$B$10)</f>
        <v/>
      </c>
    </row>
    <row r="87" customFormat="false" ht="15" hidden="false" customHeight="false" outlineLevel="0" collapsed="false">
      <c r="A87" s="0" t="str">
        <f aca="false">IF(86&lt;=Cálculo!$B$8,86,"")</f>
        <v/>
      </c>
      <c r="B87" s="11" t="str">
        <f aca="false">IF(A87="","",B86-Cálculo!$B$6/Cálculo!$B$8)</f>
        <v/>
      </c>
      <c r="C87" s="11" t="str">
        <f aca="false">IF(A87="","",Cálculo!$B$6/Cálculo!$B$8+B87*Cálculo!$B$7/100)</f>
        <v/>
      </c>
      <c r="D87" s="11" t="str">
        <f aca="false">IF(A87="","",D86-(Cálculo!$B$10-D86*Cálculo!$B$7/100))</f>
        <v/>
      </c>
      <c r="E87" s="11" t="str">
        <f aca="false">IF(A87="","",Cálculo!$B$10)</f>
        <v/>
      </c>
    </row>
    <row r="88" customFormat="false" ht="15" hidden="false" customHeight="false" outlineLevel="0" collapsed="false">
      <c r="A88" s="0" t="str">
        <f aca="false">IF(87&lt;=Cálculo!$B$8,87,"")</f>
        <v/>
      </c>
      <c r="B88" s="11" t="str">
        <f aca="false">IF(A88="","",B87-Cálculo!$B$6/Cálculo!$B$8)</f>
        <v/>
      </c>
      <c r="C88" s="11" t="str">
        <f aca="false">IF(A88="","",Cálculo!$B$6/Cálculo!$B$8+B88*Cálculo!$B$7/100)</f>
        <v/>
      </c>
      <c r="D88" s="11" t="str">
        <f aca="false">IF(A88="","",D87-(Cálculo!$B$10-D87*Cálculo!$B$7/100))</f>
        <v/>
      </c>
      <c r="E88" s="11" t="str">
        <f aca="false">IF(A88="","",Cálculo!$B$10)</f>
        <v/>
      </c>
    </row>
    <row r="89" customFormat="false" ht="15" hidden="false" customHeight="false" outlineLevel="0" collapsed="false">
      <c r="A89" s="0" t="str">
        <f aca="false">IF(88&lt;=Cálculo!$B$8,88,"")</f>
        <v/>
      </c>
      <c r="B89" s="11" t="str">
        <f aca="false">IF(A89="","",B88-Cálculo!$B$6/Cálculo!$B$8)</f>
        <v/>
      </c>
      <c r="C89" s="11" t="str">
        <f aca="false">IF(A89="","",Cálculo!$B$6/Cálculo!$B$8+B89*Cálculo!$B$7/100)</f>
        <v/>
      </c>
      <c r="D89" s="11" t="str">
        <f aca="false">IF(A89="","",D88-(Cálculo!$B$10-D88*Cálculo!$B$7/100))</f>
        <v/>
      </c>
      <c r="E89" s="11" t="str">
        <f aca="false">IF(A89="","",Cálculo!$B$10)</f>
        <v/>
      </c>
    </row>
    <row r="90" customFormat="false" ht="15" hidden="false" customHeight="false" outlineLevel="0" collapsed="false">
      <c r="A90" s="0" t="str">
        <f aca="false">IF(89&lt;=Cálculo!$B$8,89,"")</f>
        <v/>
      </c>
      <c r="B90" s="11" t="str">
        <f aca="false">IF(A90="","",B89-Cálculo!$B$6/Cálculo!$B$8)</f>
        <v/>
      </c>
      <c r="C90" s="11" t="str">
        <f aca="false">IF(A90="","",Cálculo!$B$6/Cálculo!$B$8+B90*Cálculo!$B$7/100)</f>
        <v/>
      </c>
      <c r="D90" s="11" t="str">
        <f aca="false">IF(A90="","",D89-(Cálculo!$B$10-D89*Cálculo!$B$7/100))</f>
        <v/>
      </c>
      <c r="E90" s="11" t="str">
        <f aca="false">IF(A90="","",Cálculo!$B$10)</f>
        <v/>
      </c>
    </row>
    <row r="91" customFormat="false" ht="15" hidden="false" customHeight="false" outlineLevel="0" collapsed="false">
      <c r="A91" s="0" t="str">
        <f aca="false">IF(90&lt;=Cálculo!$B$8,90,"")</f>
        <v/>
      </c>
      <c r="B91" s="11" t="str">
        <f aca="false">IF(A91="","",B90-Cálculo!$B$6/Cálculo!$B$8)</f>
        <v/>
      </c>
      <c r="C91" s="11" t="str">
        <f aca="false">IF(A91="","",Cálculo!$B$6/Cálculo!$B$8+B91*Cálculo!$B$7/100)</f>
        <v/>
      </c>
      <c r="D91" s="11" t="str">
        <f aca="false">IF(A91="","",D90-(Cálculo!$B$10-D90*Cálculo!$B$7/100))</f>
        <v/>
      </c>
      <c r="E91" s="11" t="str">
        <f aca="false">IF(A91="","",Cálculo!$B$10)</f>
        <v/>
      </c>
    </row>
    <row r="92" customFormat="false" ht="15" hidden="false" customHeight="false" outlineLevel="0" collapsed="false">
      <c r="A92" s="0" t="str">
        <f aca="false">IF(91&lt;=Cálculo!$B$8,91,"")</f>
        <v/>
      </c>
      <c r="B92" s="11" t="str">
        <f aca="false">IF(A92="","",B91-Cálculo!$B$6/Cálculo!$B$8)</f>
        <v/>
      </c>
      <c r="C92" s="11" t="str">
        <f aca="false">IF(A92="","",Cálculo!$B$6/Cálculo!$B$8+B92*Cálculo!$B$7/100)</f>
        <v/>
      </c>
      <c r="D92" s="11" t="str">
        <f aca="false">IF(A92="","",D91-(Cálculo!$B$10-D91*Cálculo!$B$7/100))</f>
        <v/>
      </c>
      <c r="E92" s="11" t="str">
        <f aca="false">IF(A92="","",Cálculo!$B$10)</f>
        <v/>
      </c>
    </row>
    <row r="93" customFormat="false" ht="15" hidden="false" customHeight="false" outlineLevel="0" collapsed="false">
      <c r="A93" s="0" t="str">
        <f aca="false">IF(92&lt;=Cálculo!$B$8,92,"")</f>
        <v/>
      </c>
      <c r="B93" s="11" t="str">
        <f aca="false">IF(A93="","",B92-Cálculo!$B$6/Cálculo!$B$8)</f>
        <v/>
      </c>
      <c r="C93" s="11" t="str">
        <f aca="false">IF(A93="","",Cálculo!$B$6/Cálculo!$B$8+B93*Cálculo!$B$7/100)</f>
        <v/>
      </c>
      <c r="D93" s="11" t="str">
        <f aca="false">IF(A93="","",D92-(Cálculo!$B$10-D92*Cálculo!$B$7/100))</f>
        <v/>
      </c>
      <c r="E93" s="11" t="str">
        <f aca="false">IF(A93="","",Cálculo!$B$10)</f>
        <v/>
      </c>
    </row>
    <row r="94" customFormat="false" ht="15" hidden="false" customHeight="false" outlineLevel="0" collapsed="false">
      <c r="A94" s="0" t="str">
        <f aca="false">IF(93&lt;=Cálculo!$B$8,93,"")</f>
        <v/>
      </c>
      <c r="B94" s="11" t="str">
        <f aca="false">IF(A94="","",B93-Cálculo!$B$6/Cálculo!$B$8)</f>
        <v/>
      </c>
      <c r="C94" s="11" t="str">
        <f aca="false">IF(A94="","",Cálculo!$B$6/Cálculo!$B$8+B94*Cálculo!$B$7/100)</f>
        <v/>
      </c>
      <c r="D94" s="11" t="str">
        <f aca="false">IF(A94="","",D93-(Cálculo!$B$10-D93*Cálculo!$B$7/100))</f>
        <v/>
      </c>
      <c r="E94" s="11" t="str">
        <f aca="false">IF(A94="","",Cálculo!$B$10)</f>
        <v/>
      </c>
    </row>
    <row r="95" customFormat="false" ht="15" hidden="false" customHeight="false" outlineLevel="0" collapsed="false">
      <c r="A95" s="0" t="str">
        <f aca="false">IF(94&lt;=Cálculo!$B$8,94,"")</f>
        <v/>
      </c>
      <c r="B95" s="11" t="str">
        <f aca="false">IF(A95="","",B94-Cálculo!$B$6/Cálculo!$B$8)</f>
        <v/>
      </c>
      <c r="C95" s="11" t="str">
        <f aca="false">IF(A95="","",Cálculo!$B$6/Cálculo!$B$8+B95*Cálculo!$B$7/100)</f>
        <v/>
      </c>
      <c r="D95" s="11" t="str">
        <f aca="false">IF(A95="","",D94-(Cálculo!$B$10-D94*Cálculo!$B$7/100))</f>
        <v/>
      </c>
      <c r="E95" s="11" t="str">
        <f aca="false">IF(A95="","",Cálculo!$B$10)</f>
        <v/>
      </c>
    </row>
    <row r="96" customFormat="false" ht="15" hidden="false" customHeight="false" outlineLevel="0" collapsed="false">
      <c r="A96" s="0" t="str">
        <f aca="false">IF(95&lt;=Cálculo!$B$8,95,"")</f>
        <v/>
      </c>
      <c r="B96" s="11" t="str">
        <f aca="false">IF(A96="","",B95-Cálculo!$B$6/Cálculo!$B$8)</f>
        <v/>
      </c>
      <c r="C96" s="11" t="str">
        <f aca="false">IF(A96="","",Cálculo!$B$6/Cálculo!$B$8+B96*Cálculo!$B$7/100)</f>
        <v/>
      </c>
      <c r="D96" s="11" t="str">
        <f aca="false">IF(A96="","",D95-(Cálculo!$B$10-D95*Cálculo!$B$7/100))</f>
        <v/>
      </c>
      <c r="E96" s="11" t="str">
        <f aca="false">IF(A96="","",Cálculo!$B$10)</f>
        <v/>
      </c>
    </row>
    <row r="97" customFormat="false" ht="15" hidden="false" customHeight="false" outlineLevel="0" collapsed="false">
      <c r="A97" s="0" t="str">
        <f aca="false">IF(96&lt;=Cálculo!$B$8,96,"")</f>
        <v/>
      </c>
      <c r="B97" s="11" t="str">
        <f aca="false">IF(A97="","",B96-Cálculo!$B$6/Cálculo!$B$8)</f>
        <v/>
      </c>
      <c r="C97" s="11" t="str">
        <f aca="false">IF(A97="","",Cálculo!$B$6/Cálculo!$B$8+B97*Cálculo!$B$7/100)</f>
        <v/>
      </c>
      <c r="D97" s="11" t="str">
        <f aca="false">IF(A97="","",D96-(Cálculo!$B$10-D96*Cálculo!$B$7/100))</f>
        <v/>
      </c>
      <c r="E97" s="11" t="str">
        <f aca="false">IF(A97="","",Cálculo!$B$10)</f>
        <v/>
      </c>
    </row>
    <row r="98" customFormat="false" ht="15" hidden="false" customHeight="false" outlineLevel="0" collapsed="false">
      <c r="A98" s="0" t="str">
        <f aca="false">IF(97&lt;=Cálculo!$B$8,97,"")</f>
        <v/>
      </c>
      <c r="B98" s="11" t="str">
        <f aca="false">IF(A98="","",B97-Cálculo!$B$6/Cálculo!$B$8)</f>
        <v/>
      </c>
      <c r="C98" s="11" t="str">
        <f aca="false">IF(A98="","",Cálculo!$B$6/Cálculo!$B$8+B98*Cálculo!$B$7/100)</f>
        <v/>
      </c>
      <c r="D98" s="11" t="str">
        <f aca="false">IF(A98="","",D97-(Cálculo!$B$10-D97*Cálculo!$B$7/100))</f>
        <v/>
      </c>
      <c r="E98" s="11" t="str">
        <f aca="false">IF(A98="","",Cálculo!$B$10)</f>
        <v/>
      </c>
    </row>
    <row r="99" customFormat="false" ht="15" hidden="false" customHeight="false" outlineLevel="0" collapsed="false">
      <c r="A99" s="0" t="str">
        <f aca="false">IF(98&lt;=Cálculo!$B$8,98,"")</f>
        <v/>
      </c>
      <c r="B99" s="11" t="str">
        <f aca="false">IF(A99="","",B98-Cálculo!$B$6/Cálculo!$B$8)</f>
        <v/>
      </c>
      <c r="C99" s="11" t="str">
        <f aca="false">IF(A99="","",Cálculo!$B$6/Cálculo!$B$8+B99*Cálculo!$B$7/100)</f>
        <v/>
      </c>
      <c r="D99" s="11" t="str">
        <f aca="false">IF(A99="","",D98-(Cálculo!$B$10-D98*Cálculo!$B$7/100))</f>
        <v/>
      </c>
      <c r="E99" s="11" t="str">
        <f aca="false">IF(A99="","",Cálculo!$B$10)</f>
        <v/>
      </c>
    </row>
    <row r="100" customFormat="false" ht="15" hidden="false" customHeight="false" outlineLevel="0" collapsed="false">
      <c r="A100" s="0" t="str">
        <f aca="false">IF(99&lt;=Cálculo!$B$8,99,"")</f>
        <v/>
      </c>
      <c r="B100" s="11" t="str">
        <f aca="false">IF(A100="","",B99-Cálculo!$B$6/Cálculo!$B$8)</f>
        <v/>
      </c>
      <c r="C100" s="11" t="str">
        <f aca="false">IF(A100="","",Cálculo!$B$6/Cálculo!$B$8+B100*Cálculo!$B$7/100)</f>
        <v/>
      </c>
      <c r="D100" s="11" t="str">
        <f aca="false">IF(A100="","",D99-(Cálculo!$B$10-D99*Cálculo!$B$7/100))</f>
        <v/>
      </c>
      <c r="E100" s="11" t="str">
        <f aca="false">IF(A100="","",Cálculo!$B$10)</f>
        <v/>
      </c>
    </row>
    <row r="101" customFormat="false" ht="15" hidden="false" customHeight="false" outlineLevel="0" collapsed="false">
      <c r="A101" s="0" t="str">
        <f aca="false">IF(100&lt;=Cálculo!$B$8,100,"")</f>
        <v/>
      </c>
      <c r="B101" s="11" t="str">
        <f aca="false">IF(A101="","",B100-Cálculo!$B$6/Cálculo!$B$8)</f>
        <v/>
      </c>
      <c r="C101" s="11" t="str">
        <f aca="false">IF(A101="","",Cálculo!$B$6/Cálculo!$B$8+B101*Cálculo!$B$7/100)</f>
        <v/>
      </c>
      <c r="D101" s="11" t="str">
        <f aca="false">IF(A101="","",D100-(Cálculo!$B$10-D100*Cálculo!$B$7/100))</f>
        <v/>
      </c>
      <c r="E101" s="11" t="str">
        <f aca="false">IF(A101="","",Cálculo!$B$10)</f>
        <v/>
      </c>
    </row>
    <row r="102" customFormat="false" ht="15" hidden="false" customHeight="false" outlineLevel="0" collapsed="false">
      <c r="A102" s="0" t="str">
        <f aca="false">IF(101&lt;=Cálculo!$B$8,101,"")</f>
        <v/>
      </c>
      <c r="B102" s="11" t="str">
        <f aca="false">IF(A102="","",B101-Cálculo!$B$6/Cálculo!$B$8)</f>
        <v/>
      </c>
      <c r="C102" s="11" t="str">
        <f aca="false">IF(A102="","",Cálculo!$B$6/Cálculo!$B$8+B102*Cálculo!$B$7/100)</f>
        <v/>
      </c>
      <c r="D102" s="11" t="str">
        <f aca="false">IF(A102="","",D101-(Cálculo!$B$10-D101*Cálculo!$B$7/100))</f>
        <v/>
      </c>
      <c r="E102" s="11" t="str">
        <f aca="false">IF(A102="","",Cálculo!$B$10)</f>
        <v/>
      </c>
    </row>
    <row r="103" customFormat="false" ht="15" hidden="false" customHeight="false" outlineLevel="0" collapsed="false">
      <c r="A103" s="0" t="str">
        <f aca="false">IF(102&lt;=Cálculo!$B$8,102,"")</f>
        <v/>
      </c>
      <c r="B103" s="11" t="str">
        <f aca="false">IF(A103="","",B102-Cálculo!$B$6/Cálculo!$B$8)</f>
        <v/>
      </c>
      <c r="C103" s="11" t="str">
        <f aca="false">IF(A103="","",Cálculo!$B$6/Cálculo!$B$8+B103*Cálculo!$B$7/100)</f>
        <v/>
      </c>
      <c r="D103" s="11" t="str">
        <f aca="false">IF(A103="","",D102-(Cálculo!$B$10-D102*Cálculo!$B$7/100))</f>
        <v/>
      </c>
      <c r="E103" s="11" t="str">
        <f aca="false">IF(A103="","",Cálculo!$B$10)</f>
        <v/>
      </c>
    </row>
    <row r="104" customFormat="false" ht="15" hidden="false" customHeight="false" outlineLevel="0" collapsed="false">
      <c r="A104" s="0" t="str">
        <f aca="false">IF(103&lt;=Cálculo!$B$8,103,"")</f>
        <v/>
      </c>
      <c r="B104" s="11" t="str">
        <f aca="false">IF(A104="","",B103-Cálculo!$B$6/Cálculo!$B$8)</f>
        <v/>
      </c>
      <c r="C104" s="11" t="str">
        <f aca="false">IF(A104="","",Cálculo!$B$6/Cálculo!$B$8+B104*Cálculo!$B$7/100)</f>
        <v/>
      </c>
      <c r="D104" s="11" t="str">
        <f aca="false">IF(A104="","",D103-(Cálculo!$B$10-D103*Cálculo!$B$7/100))</f>
        <v/>
      </c>
      <c r="E104" s="11" t="str">
        <f aca="false">IF(A104="","",Cálculo!$B$10)</f>
        <v/>
      </c>
    </row>
    <row r="105" customFormat="false" ht="15" hidden="false" customHeight="false" outlineLevel="0" collapsed="false">
      <c r="A105" s="0" t="str">
        <f aca="false">IF(104&lt;=Cálculo!$B$8,104,"")</f>
        <v/>
      </c>
      <c r="B105" s="11" t="str">
        <f aca="false">IF(A105="","",B104-Cálculo!$B$6/Cálculo!$B$8)</f>
        <v/>
      </c>
      <c r="C105" s="11" t="str">
        <f aca="false">IF(A105="","",Cálculo!$B$6/Cálculo!$B$8+B105*Cálculo!$B$7/100)</f>
        <v/>
      </c>
      <c r="D105" s="11" t="str">
        <f aca="false">IF(A105="","",D104-(Cálculo!$B$10-D104*Cálculo!$B$7/100))</f>
        <v/>
      </c>
      <c r="E105" s="11" t="str">
        <f aca="false">IF(A105="","",Cálculo!$B$10)</f>
        <v/>
      </c>
    </row>
    <row r="106" customFormat="false" ht="15" hidden="false" customHeight="false" outlineLevel="0" collapsed="false">
      <c r="A106" s="0" t="str">
        <f aca="false">IF(105&lt;=Cálculo!$B$8,105,"")</f>
        <v/>
      </c>
      <c r="B106" s="11" t="str">
        <f aca="false">IF(A106="","",B105-Cálculo!$B$6/Cálculo!$B$8)</f>
        <v/>
      </c>
      <c r="C106" s="11" t="str">
        <f aca="false">IF(A106="","",Cálculo!$B$6/Cálculo!$B$8+B106*Cálculo!$B$7/100)</f>
        <v/>
      </c>
      <c r="D106" s="11" t="str">
        <f aca="false">IF(A106="","",D105-(Cálculo!$B$10-D105*Cálculo!$B$7/100))</f>
        <v/>
      </c>
      <c r="E106" s="11" t="str">
        <f aca="false">IF(A106="","",Cálculo!$B$10)</f>
        <v/>
      </c>
    </row>
    <row r="107" customFormat="false" ht="15" hidden="false" customHeight="false" outlineLevel="0" collapsed="false">
      <c r="A107" s="0" t="str">
        <f aca="false">IF(106&lt;=Cálculo!$B$8,106,"")</f>
        <v/>
      </c>
      <c r="B107" s="11" t="str">
        <f aca="false">IF(A107="","",B106-Cálculo!$B$6/Cálculo!$B$8)</f>
        <v/>
      </c>
      <c r="C107" s="11" t="str">
        <f aca="false">IF(A107="","",Cálculo!$B$6/Cálculo!$B$8+B107*Cálculo!$B$7/100)</f>
        <v/>
      </c>
      <c r="D107" s="11" t="str">
        <f aca="false">IF(A107="","",D106-(Cálculo!$B$10-D106*Cálculo!$B$7/100))</f>
        <v/>
      </c>
      <c r="E107" s="11" t="str">
        <f aca="false">IF(A107="","",Cálculo!$B$10)</f>
        <v/>
      </c>
    </row>
    <row r="108" customFormat="false" ht="15" hidden="false" customHeight="false" outlineLevel="0" collapsed="false">
      <c r="A108" s="0" t="str">
        <f aca="false">IF(107&lt;=Cálculo!$B$8,107,"")</f>
        <v/>
      </c>
      <c r="B108" s="11" t="str">
        <f aca="false">IF(A108="","",B107-Cálculo!$B$6/Cálculo!$B$8)</f>
        <v/>
      </c>
      <c r="C108" s="11" t="str">
        <f aca="false">IF(A108="","",Cálculo!$B$6/Cálculo!$B$8+B108*Cálculo!$B$7/100)</f>
        <v/>
      </c>
      <c r="D108" s="11" t="str">
        <f aca="false">IF(A108="","",D107-(Cálculo!$B$10-D107*Cálculo!$B$7/100))</f>
        <v/>
      </c>
      <c r="E108" s="11" t="str">
        <f aca="false">IF(A108="","",Cálculo!$B$10)</f>
        <v/>
      </c>
    </row>
    <row r="109" customFormat="false" ht="15" hidden="false" customHeight="false" outlineLevel="0" collapsed="false">
      <c r="A109" s="0" t="str">
        <f aca="false">IF(108&lt;=Cálculo!$B$8,108,"")</f>
        <v/>
      </c>
      <c r="B109" s="11" t="str">
        <f aca="false">IF(A109="","",B108-Cálculo!$B$6/Cálculo!$B$8)</f>
        <v/>
      </c>
      <c r="C109" s="11" t="str">
        <f aca="false">IF(A109="","",Cálculo!$B$6/Cálculo!$B$8+B109*Cálculo!$B$7/100)</f>
        <v/>
      </c>
      <c r="D109" s="11" t="str">
        <f aca="false">IF(A109="","",D108-(Cálculo!$B$10-D108*Cálculo!$B$7/100))</f>
        <v/>
      </c>
      <c r="E109" s="11" t="str">
        <f aca="false">IF(A109="","",Cálculo!$B$10)</f>
        <v/>
      </c>
    </row>
    <row r="110" customFormat="false" ht="15" hidden="false" customHeight="false" outlineLevel="0" collapsed="false">
      <c r="A110" s="0" t="str">
        <f aca="false">IF(109&lt;=Cálculo!$B$8,109,"")</f>
        <v/>
      </c>
      <c r="B110" s="11" t="str">
        <f aca="false">IF(A110="","",B109-Cálculo!$B$6/Cálculo!$B$8)</f>
        <v/>
      </c>
      <c r="C110" s="11" t="str">
        <f aca="false">IF(A110="","",Cálculo!$B$6/Cálculo!$B$8+B110*Cálculo!$B$7/100)</f>
        <v/>
      </c>
      <c r="D110" s="11" t="str">
        <f aca="false">IF(A110="","",D109-(Cálculo!$B$10-D109*Cálculo!$B$7/100))</f>
        <v/>
      </c>
      <c r="E110" s="11" t="str">
        <f aca="false">IF(A110="","",Cálculo!$B$10)</f>
        <v/>
      </c>
    </row>
    <row r="111" customFormat="false" ht="15" hidden="false" customHeight="false" outlineLevel="0" collapsed="false">
      <c r="A111" s="0" t="str">
        <f aca="false">IF(110&lt;=Cálculo!$B$8,110,"")</f>
        <v/>
      </c>
      <c r="B111" s="11" t="str">
        <f aca="false">IF(A111="","",B110-Cálculo!$B$6/Cálculo!$B$8)</f>
        <v/>
      </c>
      <c r="C111" s="11" t="str">
        <f aca="false">IF(A111="","",Cálculo!$B$6/Cálculo!$B$8+B111*Cálculo!$B$7/100)</f>
        <v/>
      </c>
      <c r="D111" s="11" t="str">
        <f aca="false">IF(A111="","",D110-(Cálculo!$B$10-D110*Cálculo!$B$7/100))</f>
        <v/>
      </c>
      <c r="E111" s="11" t="str">
        <f aca="false">IF(A111="","",Cálculo!$B$10)</f>
        <v/>
      </c>
    </row>
    <row r="112" customFormat="false" ht="15" hidden="false" customHeight="false" outlineLevel="0" collapsed="false">
      <c r="A112" s="0" t="str">
        <f aca="false">IF(111&lt;=Cálculo!$B$8,111,"")</f>
        <v/>
      </c>
      <c r="B112" s="11" t="str">
        <f aca="false">IF(A112="","",B111-Cálculo!$B$6/Cálculo!$B$8)</f>
        <v/>
      </c>
      <c r="C112" s="11" t="str">
        <f aca="false">IF(A112="","",Cálculo!$B$6/Cálculo!$B$8+B112*Cálculo!$B$7/100)</f>
        <v/>
      </c>
      <c r="D112" s="11" t="str">
        <f aca="false">IF(A112="","",D111-(Cálculo!$B$10-D111*Cálculo!$B$7/100))</f>
        <v/>
      </c>
      <c r="E112" s="11" t="str">
        <f aca="false">IF(A112="","",Cálculo!$B$10)</f>
        <v/>
      </c>
    </row>
    <row r="113" customFormat="false" ht="15" hidden="false" customHeight="false" outlineLevel="0" collapsed="false">
      <c r="A113" s="0" t="str">
        <f aca="false">IF(112&lt;=Cálculo!$B$8,112,"")</f>
        <v/>
      </c>
      <c r="B113" s="11" t="str">
        <f aca="false">IF(A113="","",B112-Cálculo!$B$6/Cálculo!$B$8)</f>
        <v/>
      </c>
      <c r="C113" s="11" t="str">
        <f aca="false">IF(A113="","",Cálculo!$B$6/Cálculo!$B$8+B113*Cálculo!$B$7/100)</f>
        <v/>
      </c>
      <c r="D113" s="11" t="str">
        <f aca="false">IF(A113="","",D112-(Cálculo!$B$10-D112*Cálculo!$B$7/100))</f>
        <v/>
      </c>
      <c r="E113" s="11" t="str">
        <f aca="false">IF(A113="","",Cálculo!$B$10)</f>
        <v/>
      </c>
    </row>
    <row r="114" customFormat="false" ht="15" hidden="false" customHeight="false" outlineLevel="0" collapsed="false">
      <c r="A114" s="0" t="str">
        <f aca="false">IF(113&lt;=Cálculo!$B$8,113,"")</f>
        <v/>
      </c>
      <c r="B114" s="11" t="str">
        <f aca="false">IF(A114="","",B113-Cálculo!$B$6/Cálculo!$B$8)</f>
        <v/>
      </c>
      <c r="C114" s="11" t="str">
        <f aca="false">IF(A114="","",Cálculo!$B$6/Cálculo!$B$8+B114*Cálculo!$B$7/100)</f>
        <v/>
      </c>
      <c r="D114" s="11" t="str">
        <f aca="false">IF(A114="","",D113-(Cálculo!$B$10-D113*Cálculo!$B$7/100))</f>
        <v/>
      </c>
      <c r="E114" s="11" t="str">
        <f aca="false">IF(A114="","",Cálculo!$B$10)</f>
        <v/>
      </c>
    </row>
    <row r="115" customFormat="false" ht="15" hidden="false" customHeight="false" outlineLevel="0" collapsed="false">
      <c r="A115" s="0" t="str">
        <f aca="false">IF(114&lt;=Cálculo!$B$8,114,"")</f>
        <v/>
      </c>
      <c r="B115" s="11" t="str">
        <f aca="false">IF(A115="","",B114-Cálculo!$B$6/Cálculo!$B$8)</f>
        <v/>
      </c>
      <c r="C115" s="11" t="str">
        <f aca="false">IF(A115="","",Cálculo!$B$6/Cálculo!$B$8+B115*Cálculo!$B$7/100)</f>
        <v/>
      </c>
      <c r="D115" s="11" t="str">
        <f aca="false">IF(A115="","",D114-(Cálculo!$B$10-D114*Cálculo!$B$7/100))</f>
        <v/>
      </c>
      <c r="E115" s="11" t="str">
        <f aca="false">IF(A115="","",Cálculo!$B$10)</f>
        <v/>
      </c>
    </row>
    <row r="116" customFormat="false" ht="15" hidden="false" customHeight="false" outlineLevel="0" collapsed="false">
      <c r="A116" s="0" t="str">
        <f aca="false">IF(115&lt;=Cálculo!$B$8,115,"")</f>
        <v/>
      </c>
      <c r="B116" s="11" t="str">
        <f aca="false">IF(A116="","",B115-Cálculo!$B$6/Cálculo!$B$8)</f>
        <v/>
      </c>
      <c r="C116" s="11" t="str">
        <f aca="false">IF(A116="","",Cálculo!$B$6/Cálculo!$B$8+B116*Cálculo!$B$7/100)</f>
        <v/>
      </c>
      <c r="D116" s="11" t="str">
        <f aca="false">IF(A116="","",D115-(Cálculo!$B$10-D115*Cálculo!$B$7/100))</f>
        <v/>
      </c>
      <c r="E116" s="11" t="str">
        <f aca="false">IF(A116="","",Cálculo!$B$10)</f>
        <v/>
      </c>
    </row>
    <row r="117" customFormat="false" ht="15" hidden="false" customHeight="false" outlineLevel="0" collapsed="false">
      <c r="A117" s="0" t="str">
        <f aca="false">IF(116&lt;=Cálculo!$B$8,116,"")</f>
        <v/>
      </c>
      <c r="B117" s="11" t="str">
        <f aca="false">IF(A117="","",B116-Cálculo!$B$6/Cálculo!$B$8)</f>
        <v/>
      </c>
      <c r="C117" s="11" t="str">
        <f aca="false">IF(A117="","",Cálculo!$B$6/Cálculo!$B$8+B117*Cálculo!$B$7/100)</f>
        <v/>
      </c>
      <c r="D117" s="11" t="str">
        <f aca="false">IF(A117="","",D116-(Cálculo!$B$10-D116*Cálculo!$B$7/100))</f>
        <v/>
      </c>
      <c r="E117" s="11" t="str">
        <f aca="false">IF(A117="","",Cálculo!$B$10)</f>
        <v/>
      </c>
    </row>
    <row r="118" customFormat="false" ht="15" hidden="false" customHeight="false" outlineLevel="0" collapsed="false">
      <c r="A118" s="0" t="str">
        <f aca="false">IF(117&lt;=Cálculo!$B$8,117,"")</f>
        <v/>
      </c>
      <c r="B118" s="11" t="str">
        <f aca="false">IF(A118="","",B117-Cálculo!$B$6/Cálculo!$B$8)</f>
        <v/>
      </c>
      <c r="C118" s="11" t="str">
        <f aca="false">IF(A118="","",Cálculo!$B$6/Cálculo!$B$8+B118*Cálculo!$B$7/100)</f>
        <v/>
      </c>
      <c r="D118" s="11" t="str">
        <f aca="false">IF(A118="","",D117-(Cálculo!$B$10-D117*Cálculo!$B$7/100))</f>
        <v/>
      </c>
      <c r="E118" s="11" t="str">
        <f aca="false">IF(A118="","",Cálculo!$B$10)</f>
        <v/>
      </c>
    </row>
    <row r="119" customFormat="false" ht="15" hidden="false" customHeight="false" outlineLevel="0" collapsed="false">
      <c r="A119" s="0" t="str">
        <f aca="false">IF(118&lt;=Cálculo!$B$8,118,"")</f>
        <v/>
      </c>
      <c r="B119" s="11" t="str">
        <f aca="false">IF(A119="","",B118-Cálculo!$B$6/Cálculo!$B$8)</f>
        <v/>
      </c>
      <c r="C119" s="11" t="str">
        <f aca="false">IF(A119="","",Cálculo!$B$6/Cálculo!$B$8+B119*Cálculo!$B$7/100)</f>
        <v/>
      </c>
      <c r="D119" s="11" t="str">
        <f aca="false">IF(A119="","",D118-(Cálculo!$B$10-D118*Cálculo!$B$7/100))</f>
        <v/>
      </c>
      <c r="E119" s="11" t="str">
        <f aca="false">IF(A119="","",Cálculo!$B$10)</f>
        <v/>
      </c>
    </row>
    <row r="120" customFormat="false" ht="15" hidden="false" customHeight="false" outlineLevel="0" collapsed="false">
      <c r="A120" s="0" t="str">
        <f aca="false">IF(119&lt;=Cálculo!$B$8,119,"")</f>
        <v/>
      </c>
      <c r="B120" s="11" t="str">
        <f aca="false">IF(A120="","",B119-Cálculo!$B$6/Cálculo!$B$8)</f>
        <v/>
      </c>
      <c r="C120" s="11" t="str">
        <f aca="false">IF(A120="","",Cálculo!$B$6/Cálculo!$B$8+B120*Cálculo!$B$7/100)</f>
        <v/>
      </c>
      <c r="D120" s="11" t="str">
        <f aca="false">IF(A120="","",D119-(Cálculo!$B$10-D119*Cálculo!$B$7/100))</f>
        <v/>
      </c>
      <c r="E120" s="11" t="str">
        <f aca="false">IF(A120="","",Cálculo!$B$10)</f>
        <v/>
      </c>
    </row>
    <row r="121" customFormat="false" ht="15" hidden="false" customHeight="false" outlineLevel="0" collapsed="false">
      <c r="A121" s="0" t="str">
        <f aca="false">IF(120&lt;=Cálculo!$B$8,120,"")</f>
        <v/>
      </c>
      <c r="B121" s="11" t="str">
        <f aca="false">IF(A121="","",B120-Cálculo!$B$6/Cálculo!$B$8)</f>
        <v/>
      </c>
      <c r="C121" s="11" t="str">
        <f aca="false">IF(A121="","",Cálculo!$B$6/Cálculo!$B$8+B121*Cálculo!$B$7/100)</f>
        <v/>
      </c>
      <c r="D121" s="11" t="str">
        <f aca="false">IF(A121="","",D120-(Cálculo!$B$10-D120*Cálculo!$B$7/100))</f>
        <v/>
      </c>
      <c r="E121" s="11" t="str">
        <f aca="false">IF(A121="","",Cálculo!$B$10)</f>
        <v/>
      </c>
    </row>
    <row r="122" customFormat="false" ht="15" hidden="false" customHeight="false" outlineLevel="0" collapsed="false">
      <c r="A122" s="0" t="str">
        <f aca="false">IF(121&lt;=Cálculo!$B$8,121,"")</f>
        <v/>
      </c>
      <c r="B122" s="11" t="str">
        <f aca="false">IF(A122="","",B121-Cálculo!$B$6/Cálculo!$B$8)</f>
        <v/>
      </c>
      <c r="C122" s="11" t="str">
        <f aca="false">IF(A122="","",Cálculo!$B$6/Cálculo!$B$8+B122*Cálculo!$B$7/100)</f>
        <v/>
      </c>
      <c r="D122" s="11" t="str">
        <f aca="false">IF(A122="","",D121-(Cálculo!$B$10-D121*Cálculo!$B$7/100))</f>
        <v/>
      </c>
      <c r="E122" s="11" t="str">
        <f aca="false">IF(A122="","",Cálculo!$B$10)</f>
        <v/>
      </c>
    </row>
    <row r="123" customFormat="false" ht="15" hidden="false" customHeight="false" outlineLevel="0" collapsed="false">
      <c r="A123" s="0" t="str">
        <f aca="false">IF(122&lt;=Cálculo!$B$8,122,"")</f>
        <v/>
      </c>
      <c r="B123" s="11" t="str">
        <f aca="false">IF(A123="","",B122-Cálculo!$B$6/Cálculo!$B$8)</f>
        <v/>
      </c>
      <c r="C123" s="11" t="str">
        <f aca="false">IF(A123="","",Cálculo!$B$6/Cálculo!$B$8+B123*Cálculo!$B$7/100)</f>
        <v/>
      </c>
      <c r="D123" s="11" t="str">
        <f aca="false">IF(A123="","",D122-(Cálculo!$B$10-D122*Cálculo!$B$7/100))</f>
        <v/>
      </c>
      <c r="E123" s="11" t="str">
        <f aca="false">IF(A123="","",Cálculo!$B$10)</f>
        <v/>
      </c>
    </row>
    <row r="124" customFormat="false" ht="15" hidden="false" customHeight="false" outlineLevel="0" collapsed="false">
      <c r="A124" s="0" t="str">
        <f aca="false">IF(123&lt;=Cálculo!$B$8,123,"")</f>
        <v/>
      </c>
      <c r="B124" s="11" t="str">
        <f aca="false">IF(A124="","",B123-Cálculo!$B$6/Cálculo!$B$8)</f>
        <v/>
      </c>
      <c r="C124" s="11" t="str">
        <f aca="false">IF(A124="","",Cálculo!$B$6/Cálculo!$B$8+B124*Cálculo!$B$7/100)</f>
        <v/>
      </c>
      <c r="D124" s="11" t="str">
        <f aca="false">IF(A124="","",D123-(Cálculo!$B$10-D123*Cálculo!$B$7/100))</f>
        <v/>
      </c>
      <c r="E124" s="11" t="str">
        <f aca="false">IF(A124="","",Cálculo!$B$10)</f>
        <v/>
      </c>
    </row>
    <row r="125" customFormat="false" ht="15" hidden="false" customHeight="false" outlineLevel="0" collapsed="false">
      <c r="A125" s="0" t="str">
        <f aca="false">IF(124&lt;=Cálculo!$B$8,124,"")</f>
        <v/>
      </c>
      <c r="B125" s="11" t="str">
        <f aca="false">IF(A125="","",B124-Cálculo!$B$6/Cálculo!$B$8)</f>
        <v/>
      </c>
      <c r="C125" s="11" t="str">
        <f aca="false">IF(A125="","",Cálculo!$B$6/Cálculo!$B$8+B125*Cálculo!$B$7/100)</f>
        <v/>
      </c>
      <c r="D125" s="11" t="str">
        <f aca="false">IF(A125="","",D124-(Cálculo!$B$10-D124*Cálculo!$B$7/100))</f>
        <v/>
      </c>
      <c r="E125" s="11" t="str">
        <f aca="false">IF(A125="","",Cálculo!$B$10)</f>
        <v/>
      </c>
    </row>
    <row r="126" customFormat="false" ht="15" hidden="false" customHeight="false" outlineLevel="0" collapsed="false">
      <c r="A126" s="0" t="str">
        <f aca="false">IF(125&lt;=Cálculo!$B$8,125,"")</f>
        <v/>
      </c>
      <c r="B126" s="11" t="str">
        <f aca="false">IF(A126="","",B125-Cálculo!$B$6/Cálculo!$B$8)</f>
        <v/>
      </c>
      <c r="C126" s="11" t="str">
        <f aca="false">IF(A126="","",Cálculo!$B$6/Cálculo!$B$8+B126*Cálculo!$B$7/100)</f>
        <v/>
      </c>
      <c r="D126" s="11" t="str">
        <f aca="false">IF(A126="","",D125-(Cálculo!$B$10-D125*Cálculo!$B$7/100))</f>
        <v/>
      </c>
      <c r="E126" s="11" t="str">
        <f aca="false">IF(A126="","",Cálculo!$B$10)</f>
        <v/>
      </c>
    </row>
    <row r="127" customFormat="false" ht="15" hidden="false" customHeight="false" outlineLevel="0" collapsed="false">
      <c r="A127" s="0" t="str">
        <f aca="false">IF(126&lt;=Cálculo!$B$8,126,"")</f>
        <v/>
      </c>
      <c r="B127" s="11" t="str">
        <f aca="false">IF(A127="","",B126-Cálculo!$B$6/Cálculo!$B$8)</f>
        <v/>
      </c>
      <c r="C127" s="11" t="str">
        <f aca="false">IF(A127="","",Cálculo!$B$6/Cálculo!$B$8+B127*Cálculo!$B$7/100)</f>
        <v/>
      </c>
      <c r="D127" s="11" t="str">
        <f aca="false">IF(A127="","",D126-(Cálculo!$B$10-D126*Cálculo!$B$7/100))</f>
        <v/>
      </c>
      <c r="E127" s="11" t="str">
        <f aca="false">IF(A127="","",Cálculo!$B$10)</f>
        <v/>
      </c>
    </row>
    <row r="128" customFormat="false" ht="15" hidden="false" customHeight="false" outlineLevel="0" collapsed="false">
      <c r="A128" s="0" t="str">
        <f aca="false">IF(127&lt;=Cálculo!$B$8,127,"")</f>
        <v/>
      </c>
      <c r="B128" s="11" t="str">
        <f aca="false">IF(A128="","",B127-Cálculo!$B$6/Cálculo!$B$8)</f>
        <v/>
      </c>
      <c r="C128" s="11" t="str">
        <f aca="false">IF(A128="","",Cálculo!$B$6/Cálculo!$B$8+B128*Cálculo!$B$7/100)</f>
        <v/>
      </c>
      <c r="D128" s="11" t="str">
        <f aca="false">IF(A128="","",D127-(Cálculo!$B$10-D127*Cálculo!$B$7/100))</f>
        <v/>
      </c>
      <c r="E128" s="11" t="str">
        <f aca="false">IF(A128="","",Cálculo!$B$10)</f>
        <v/>
      </c>
    </row>
    <row r="129" customFormat="false" ht="15" hidden="false" customHeight="false" outlineLevel="0" collapsed="false">
      <c r="A129" s="0" t="str">
        <f aca="false">IF(128&lt;=Cálculo!$B$8,128,"")</f>
        <v/>
      </c>
      <c r="B129" s="11" t="str">
        <f aca="false">IF(A129="","",B128-Cálculo!$B$6/Cálculo!$B$8)</f>
        <v/>
      </c>
      <c r="C129" s="11" t="str">
        <f aca="false">IF(A129="","",Cálculo!$B$6/Cálculo!$B$8+B129*Cálculo!$B$7/100)</f>
        <v/>
      </c>
      <c r="D129" s="11" t="str">
        <f aca="false">IF(A129="","",D128-(Cálculo!$B$10-D128*Cálculo!$B$7/100))</f>
        <v/>
      </c>
      <c r="E129" s="11" t="str">
        <f aca="false">IF(A129="","",Cálculo!$B$10)</f>
        <v/>
      </c>
    </row>
    <row r="130" customFormat="false" ht="15" hidden="false" customHeight="false" outlineLevel="0" collapsed="false">
      <c r="A130" s="0" t="str">
        <f aca="false">IF(129&lt;=Cálculo!$B$8,129,"")</f>
        <v/>
      </c>
      <c r="B130" s="11" t="str">
        <f aca="false">IF(A130="","",B129-Cálculo!$B$6/Cálculo!$B$8)</f>
        <v/>
      </c>
      <c r="C130" s="11" t="str">
        <f aca="false">IF(A130="","",Cálculo!$B$6/Cálculo!$B$8+B130*Cálculo!$B$7/100)</f>
        <v/>
      </c>
      <c r="D130" s="11" t="str">
        <f aca="false">IF(A130="","",D129-(Cálculo!$B$10-D129*Cálculo!$B$7/100))</f>
        <v/>
      </c>
      <c r="E130" s="11" t="str">
        <f aca="false">IF(A130="","",Cálculo!$B$10)</f>
        <v/>
      </c>
    </row>
    <row r="131" customFormat="false" ht="15" hidden="false" customHeight="false" outlineLevel="0" collapsed="false">
      <c r="A131" s="0" t="str">
        <f aca="false">IF(130&lt;=Cálculo!$B$8,130,"")</f>
        <v/>
      </c>
      <c r="B131" s="11" t="str">
        <f aca="false">IF(A131="","",B130-Cálculo!$B$6/Cálculo!$B$8)</f>
        <v/>
      </c>
      <c r="C131" s="11" t="str">
        <f aca="false">IF(A131="","",Cálculo!$B$6/Cálculo!$B$8+B131*Cálculo!$B$7/100)</f>
        <v/>
      </c>
      <c r="D131" s="11" t="str">
        <f aca="false">IF(A131="","",D130-(Cálculo!$B$10-D130*Cálculo!$B$7/100))</f>
        <v/>
      </c>
      <c r="E131" s="11" t="str">
        <f aca="false">IF(A131="","",Cálculo!$B$10)</f>
        <v/>
      </c>
    </row>
    <row r="132" customFormat="false" ht="15" hidden="false" customHeight="false" outlineLevel="0" collapsed="false">
      <c r="A132" s="0" t="str">
        <f aca="false">IF(131&lt;=Cálculo!$B$8,131,"")</f>
        <v/>
      </c>
      <c r="B132" s="11" t="str">
        <f aca="false">IF(A132="","",B131-Cálculo!$B$6/Cálculo!$B$8)</f>
        <v/>
      </c>
      <c r="C132" s="11" t="str">
        <f aca="false">IF(A132="","",Cálculo!$B$6/Cálculo!$B$8+B132*Cálculo!$B$7/100)</f>
        <v/>
      </c>
      <c r="D132" s="11" t="str">
        <f aca="false">IF(A132="","",D131-(Cálculo!$B$10-D131*Cálculo!$B$7/100))</f>
        <v/>
      </c>
      <c r="E132" s="11" t="str">
        <f aca="false">IF(A132="","",Cálculo!$B$10)</f>
        <v/>
      </c>
    </row>
    <row r="133" customFormat="false" ht="15" hidden="false" customHeight="false" outlineLevel="0" collapsed="false">
      <c r="A133" s="0" t="str">
        <f aca="false">IF(132&lt;=Cálculo!$B$8,132,"")</f>
        <v/>
      </c>
      <c r="B133" s="11" t="str">
        <f aca="false">IF(A133="","",B132-Cálculo!$B$6/Cálculo!$B$8)</f>
        <v/>
      </c>
      <c r="C133" s="11" t="str">
        <f aca="false">IF(A133="","",Cálculo!$B$6/Cálculo!$B$8+B133*Cálculo!$B$7/100)</f>
        <v/>
      </c>
      <c r="D133" s="11" t="str">
        <f aca="false">IF(A133="","",D132-(Cálculo!$B$10-D132*Cálculo!$B$7/100))</f>
        <v/>
      </c>
      <c r="E133" s="11" t="str">
        <f aca="false">IF(A133="","",Cálculo!$B$10)</f>
        <v/>
      </c>
    </row>
    <row r="134" customFormat="false" ht="15" hidden="false" customHeight="false" outlineLevel="0" collapsed="false">
      <c r="A134" s="0" t="str">
        <f aca="false">IF(133&lt;=Cálculo!$B$8,133,"")</f>
        <v/>
      </c>
      <c r="B134" s="11" t="str">
        <f aca="false">IF(A134="","",B133-Cálculo!$B$6/Cálculo!$B$8)</f>
        <v/>
      </c>
      <c r="C134" s="11" t="str">
        <f aca="false">IF(A134="","",Cálculo!$B$6/Cálculo!$B$8+B134*Cálculo!$B$7/100)</f>
        <v/>
      </c>
      <c r="D134" s="11" t="str">
        <f aca="false">IF(A134="","",D133-(Cálculo!$B$10-D133*Cálculo!$B$7/100))</f>
        <v/>
      </c>
      <c r="E134" s="11" t="str">
        <f aca="false">IF(A134="","",Cálculo!$B$10)</f>
        <v/>
      </c>
    </row>
    <row r="135" customFormat="false" ht="15" hidden="false" customHeight="false" outlineLevel="0" collapsed="false">
      <c r="A135" s="0" t="str">
        <f aca="false">IF(134&lt;=Cálculo!$B$8,134,"")</f>
        <v/>
      </c>
      <c r="B135" s="11" t="str">
        <f aca="false">IF(A135="","",B134-Cálculo!$B$6/Cálculo!$B$8)</f>
        <v/>
      </c>
      <c r="C135" s="11" t="str">
        <f aca="false">IF(A135="","",Cálculo!$B$6/Cálculo!$B$8+B135*Cálculo!$B$7/100)</f>
        <v/>
      </c>
      <c r="D135" s="11" t="str">
        <f aca="false">IF(A135="","",D134-(Cálculo!$B$10-D134*Cálculo!$B$7/100))</f>
        <v/>
      </c>
      <c r="E135" s="11" t="str">
        <f aca="false">IF(A135="","",Cálculo!$B$10)</f>
        <v/>
      </c>
    </row>
    <row r="136" customFormat="false" ht="15" hidden="false" customHeight="false" outlineLevel="0" collapsed="false">
      <c r="A136" s="0" t="str">
        <f aca="false">IF(135&lt;=Cálculo!$B$8,135,"")</f>
        <v/>
      </c>
      <c r="B136" s="11" t="str">
        <f aca="false">IF(A136="","",B135-Cálculo!$B$6/Cálculo!$B$8)</f>
        <v/>
      </c>
      <c r="C136" s="11" t="str">
        <f aca="false">IF(A136="","",Cálculo!$B$6/Cálculo!$B$8+B136*Cálculo!$B$7/100)</f>
        <v/>
      </c>
      <c r="D136" s="11" t="str">
        <f aca="false">IF(A136="","",D135-(Cálculo!$B$10-D135*Cálculo!$B$7/100))</f>
        <v/>
      </c>
      <c r="E136" s="11" t="str">
        <f aca="false">IF(A136="","",Cálculo!$B$10)</f>
        <v/>
      </c>
    </row>
    <row r="137" customFormat="false" ht="15" hidden="false" customHeight="false" outlineLevel="0" collapsed="false">
      <c r="A137" s="0" t="str">
        <f aca="false">IF(136&lt;=Cálculo!$B$8,136,"")</f>
        <v/>
      </c>
      <c r="B137" s="11" t="str">
        <f aca="false">IF(A137="","",B136-Cálculo!$B$6/Cálculo!$B$8)</f>
        <v/>
      </c>
      <c r="C137" s="11" t="str">
        <f aca="false">IF(A137="","",Cálculo!$B$6/Cálculo!$B$8+B137*Cálculo!$B$7/100)</f>
        <v/>
      </c>
      <c r="D137" s="11" t="str">
        <f aca="false">IF(A137="","",D136-(Cálculo!$B$10-D136*Cálculo!$B$7/100))</f>
        <v/>
      </c>
      <c r="E137" s="11" t="str">
        <f aca="false">IF(A137="","",Cálculo!$B$10)</f>
        <v/>
      </c>
    </row>
    <row r="138" customFormat="false" ht="15" hidden="false" customHeight="false" outlineLevel="0" collapsed="false">
      <c r="A138" s="0" t="str">
        <f aca="false">IF(137&lt;=Cálculo!$B$8,137,"")</f>
        <v/>
      </c>
      <c r="B138" s="11" t="str">
        <f aca="false">IF(A138="","",B137-Cálculo!$B$6/Cálculo!$B$8)</f>
        <v/>
      </c>
      <c r="C138" s="11" t="str">
        <f aca="false">IF(A138="","",Cálculo!$B$6/Cálculo!$B$8+B138*Cálculo!$B$7/100)</f>
        <v/>
      </c>
      <c r="D138" s="11" t="str">
        <f aca="false">IF(A138="","",D137-(Cálculo!$B$10-D137*Cálculo!$B$7/100))</f>
        <v/>
      </c>
      <c r="E138" s="11" t="str">
        <f aca="false">IF(A138="","",Cálculo!$B$10)</f>
        <v/>
      </c>
    </row>
    <row r="139" customFormat="false" ht="15" hidden="false" customHeight="false" outlineLevel="0" collapsed="false">
      <c r="A139" s="0" t="str">
        <f aca="false">IF(138&lt;=Cálculo!$B$8,138,"")</f>
        <v/>
      </c>
      <c r="B139" s="11" t="str">
        <f aca="false">IF(A139="","",B138-Cálculo!$B$6/Cálculo!$B$8)</f>
        <v/>
      </c>
      <c r="C139" s="11" t="str">
        <f aca="false">IF(A139="","",Cálculo!$B$6/Cálculo!$B$8+B139*Cálculo!$B$7/100)</f>
        <v/>
      </c>
      <c r="D139" s="11" t="str">
        <f aca="false">IF(A139="","",D138-(Cálculo!$B$10-D138*Cálculo!$B$7/100))</f>
        <v/>
      </c>
      <c r="E139" s="11" t="str">
        <f aca="false">IF(A139="","",Cálculo!$B$10)</f>
        <v/>
      </c>
    </row>
    <row r="140" customFormat="false" ht="15" hidden="false" customHeight="false" outlineLevel="0" collapsed="false">
      <c r="A140" s="0" t="str">
        <f aca="false">IF(139&lt;=Cálculo!$B$8,139,"")</f>
        <v/>
      </c>
      <c r="B140" s="11" t="str">
        <f aca="false">IF(A140="","",B139-Cálculo!$B$6/Cálculo!$B$8)</f>
        <v/>
      </c>
      <c r="C140" s="11" t="str">
        <f aca="false">IF(A140="","",Cálculo!$B$6/Cálculo!$B$8+B140*Cálculo!$B$7/100)</f>
        <v/>
      </c>
      <c r="D140" s="11" t="str">
        <f aca="false">IF(A140="","",D139-(Cálculo!$B$10-D139*Cálculo!$B$7/100))</f>
        <v/>
      </c>
      <c r="E140" s="11" t="str">
        <f aca="false">IF(A140="","",Cálculo!$B$10)</f>
        <v/>
      </c>
    </row>
    <row r="141" customFormat="false" ht="15" hidden="false" customHeight="false" outlineLevel="0" collapsed="false">
      <c r="A141" s="0" t="str">
        <f aca="false">IF(140&lt;=Cálculo!$B$8,140,"")</f>
        <v/>
      </c>
      <c r="B141" s="11" t="str">
        <f aca="false">IF(A141="","",B140-Cálculo!$B$6/Cálculo!$B$8)</f>
        <v/>
      </c>
      <c r="C141" s="11" t="str">
        <f aca="false">IF(A141="","",Cálculo!$B$6/Cálculo!$B$8+B141*Cálculo!$B$7/100)</f>
        <v/>
      </c>
      <c r="D141" s="11" t="str">
        <f aca="false">IF(A141="","",D140-(Cálculo!$B$10-D140*Cálculo!$B$7/100))</f>
        <v/>
      </c>
      <c r="E141" s="11" t="str">
        <f aca="false">IF(A141="","",Cálculo!$B$10)</f>
        <v/>
      </c>
    </row>
    <row r="142" customFormat="false" ht="15" hidden="false" customHeight="false" outlineLevel="0" collapsed="false">
      <c r="A142" s="0" t="str">
        <f aca="false">IF(141&lt;=Cálculo!$B$8,141,"")</f>
        <v/>
      </c>
      <c r="B142" s="11" t="str">
        <f aca="false">IF(A142="","",B141-Cálculo!$B$6/Cálculo!$B$8)</f>
        <v/>
      </c>
      <c r="C142" s="11" t="str">
        <f aca="false">IF(A142="","",Cálculo!$B$6/Cálculo!$B$8+B142*Cálculo!$B$7/100)</f>
        <v/>
      </c>
      <c r="D142" s="11" t="str">
        <f aca="false">IF(A142="","",D141-(Cálculo!$B$10-D141*Cálculo!$B$7/100))</f>
        <v/>
      </c>
      <c r="E142" s="11" t="str">
        <f aca="false">IF(A142="","",Cálculo!$B$10)</f>
        <v/>
      </c>
    </row>
    <row r="143" customFormat="false" ht="15" hidden="false" customHeight="false" outlineLevel="0" collapsed="false">
      <c r="A143" s="0" t="str">
        <f aca="false">IF(142&lt;=Cálculo!$B$8,142,"")</f>
        <v/>
      </c>
      <c r="B143" s="11" t="str">
        <f aca="false">IF(A143="","",B142-Cálculo!$B$6/Cálculo!$B$8)</f>
        <v/>
      </c>
      <c r="C143" s="11" t="str">
        <f aca="false">IF(A143="","",Cálculo!$B$6/Cálculo!$B$8+B143*Cálculo!$B$7/100)</f>
        <v/>
      </c>
      <c r="D143" s="11" t="str">
        <f aca="false">IF(A143="","",D142-(Cálculo!$B$10-D142*Cálculo!$B$7/100))</f>
        <v/>
      </c>
      <c r="E143" s="11" t="str">
        <f aca="false">IF(A143="","",Cálculo!$B$10)</f>
        <v/>
      </c>
    </row>
    <row r="144" customFormat="false" ht="15" hidden="false" customHeight="false" outlineLevel="0" collapsed="false">
      <c r="A144" s="0" t="str">
        <f aca="false">IF(143&lt;=Cálculo!$B$8,143,"")</f>
        <v/>
      </c>
      <c r="B144" s="11" t="str">
        <f aca="false">IF(A144="","",B143-Cálculo!$B$6/Cálculo!$B$8)</f>
        <v/>
      </c>
      <c r="C144" s="11" t="str">
        <f aca="false">IF(A144="","",Cálculo!$B$6/Cálculo!$B$8+B144*Cálculo!$B$7/100)</f>
        <v/>
      </c>
      <c r="D144" s="11" t="str">
        <f aca="false">IF(A144="","",D143-(Cálculo!$B$10-D143*Cálculo!$B$7/100))</f>
        <v/>
      </c>
      <c r="E144" s="11" t="str">
        <f aca="false">IF(A144="","",Cálculo!$B$10)</f>
        <v/>
      </c>
    </row>
    <row r="145" customFormat="false" ht="15" hidden="false" customHeight="false" outlineLevel="0" collapsed="false">
      <c r="A145" s="0" t="str">
        <f aca="false">IF(144&lt;=Cálculo!$B$8,144,"")</f>
        <v/>
      </c>
      <c r="B145" s="11" t="str">
        <f aca="false">IF(A145="","",B144-Cálculo!$B$6/Cálculo!$B$8)</f>
        <v/>
      </c>
      <c r="C145" s="11" t="str">
        <f aca="false">IF(A145="","",Cálculo!$B$6/Cálculo!$B$8+B145*Cálculo!$B$7/100)</f>
        <v/>
      </c>
      <c r="D145" s="11" t="str">
        <f aca="false">IF(A145="","",D144-(Cálculo!$B$10-D144*Cálculo!$B$7/100))</f>
        <v/>
      </c>
      <c r="E145" s="11" t="str">
        <f aca="false">IF(A145="","",Cálculo!$B$10)</f>
        <v/>
      </c>
    </row>
    <row r="146" customFormat="false" ht="15" hidden="false" customHeight="false" outlineLevel="0" collapsed="false">
      <c r="A146" s="0" t="str">
        <f aca="false">IF(145&lt;=Cálculo!$B$8,145,"")</f>
        <v/>
      </c>
      <c r="B146" s="11" t="str">
        <f aca="false">IF(A146="","",B145-Cálculo!$B$6/Cálculo!$B$8)</f>
        <v/>
      </c>
      <c r="C146" s="11" t="str">
        <f aca="false">IF(A146="","",Cálculo!$B$6/Cálculo!$B$8+B146*Cálculo!$B$7/100)</f>
        <v/>
      </c>
      <c r="D146" s="11" t="str">
        <f aca="false">IF(A146="","",D145-(Cálculo!$B$10-D145*Cálculo!$B$7/100))</f>
        <v/>
      </c>
      <c r="E146" s="11" t="str">
        <f aca="false">IF(A146="","",Cálculo!$B$10)</f>
        <v/>
      </c>
    </row>
    <row r="147" customFormat="false" ht="15" hidden="false" customHeight="false" outlineLevel="0" collapsed="false">
      <c r="A147" s="0" t="str">
        <f aca="false">IF(146&lt;=Cálculo!$B$8,146,"")</f>
        <v/>
      </c>
      <c r="B147" s="11" t="str">
        <f aca="false">IF(A147="","",B146-Cálculo!$B$6/Cálculo!$B$8)</f>
        <v/>
      </c>
      <c r="C147" s="11" t="str">
        <f aca="false">IF(A147="","",Cálculo!$B$6/Cálculo!$B$8+B147*Cálculo!$B$7/100)</f>
        <v/>
      </c>
      <c r="D147" s="11" t="str">
        <f aca="false">IF(A147="","",D146-(Cálculo!$B$10-D146*Cálculo!$B$7/100))</f>
        <v/>
      </c>
      <c r="E147" s="11" t="str">
        <f aca="false">IF(A147="","",Cálculo!$B$10)</f>
        <v/>
      </c>
    </row>
    <row r="148" customFormat="false" ht="15" hidden="false" customHeight="false" outlineLevel="0" collapsed="false">
      <c r="A148" s="0" t="str">
        <f aca="false">IF(147&lt;=Cálculo!$B$8,147,"")</f>
        <v/>
      </c>
      <c r="B148" s="11" t="str">
        <f aca="false">IF(A148="","",B147-Cálculo!$B$6/Cálculo!$B$8)</f>
        <v/>
      </c>
      <c r="C148" s="11" t="str">
        <f aca="false">IF(A148="","",Cálculo!$B$6/Cálculo!$B$8+B148*Cálculo!$B$7/100)</f>
        <v/>
      </c>
      <c r="D148" s="11" t="str">
        <f aca="false">IF(A148="","",D147-(Cálculo!$B$10-D147*Cálculo!$B$7/100))</f>
        <v/>
      </c>
      <c r="E148" s="11" t="str">
        <f aca="false">IF(A148="","",Cálculo!$B$10)</f>
        <v/>
      </c>
    </row>
    <row r="149" customFormat="false" ht="15" hidden="false" customHeight="false" outlineLevel="0" collapsed="false">
      <c r="A149" s="0" t="str">
        <f aca="false">IF(148&lt;=Cálculo!$B$8,148,"")</f>
        <v/>
      </c>
      <c r="B149" s="11" t="str">
        <f aca="false">IF(A149="","",B148-Cálculo!$B$6/Cálculo!$B$8)</f>
        <v/>
      </c>
      <c r="C149" s="11" t="str">
        <f aca="false">IF(A149="","",Cálculo!$B$6/Cálculo!$B$8+B149*Cálculo!$B$7/100)</f>
        <v/>
      </c>
      <c r="D149" s="11" t="str">
        <f aca="false">IF(A149="","",D148-(Cálculo!$B$10-D148*Cálculo!$B$7/100))</f>
        <v/>
      </c>
      <c r="E149" s="11" t="str">
        <f aca="false">IF(A149="","",Cálculo!$B$10)</f>
        <v/>
      </c>
    </row>
    <row r="150" customFormat="false" ht="15" hidden="false" customHeight="false" outlineLevel="0" collapsed="false">
      <c r="A150" s="0" t="str">
        <f aca="false">IF(149&lt;=Cálculo!$B$8,149,"")</f>
        <v/>
      </c>
      <c r="B150" s="11" t="str">
        <f aca="false">IF(A150="","",B149-Cálculo!$B$6/Cálculo!$B$8)</f>
        <v/>
      </c>
      <c r="C150" s="11" t="str">
        <f aca="false">IF(A150="","",Cálculo!$B$6/Cálculo!$B$8+B150*Cálculo!$B$7/100)</f>
        <v/>
      </c>
      <c r="D150" s="11" t="str">
        <f aca="false">IF(A150="","",D149-(Cálculo!$B$10-D149*Cálculo!$B$7/100))</f>
        <v/>
      </c>
      <c r="E150" s="11" t="str">
        <f aca="false">IF(A150="","",Cálculo!$B$10)</f>
        <v/>
      </c>
    </row>
    <row r="151" customFormat="false" ht="15" hidden="false" customHeight="false" outlineLevel="0" collapsed="false">
      <c r="A151" s="0" t="str">
        <f aca="false">IF(150&lt;=Cálculo!$B$8,150,"")</f>
        <v/>
      </c>
      <c r="B151" s="11" t="str">
        <f aca="false">IF(A151="","",B150-Cálculo!$B$6/Cálculo!$B$8)</f>
        <v/>
      </c>
      <c r="C151" s="11" t="str">
        <f aca="false">IF(A151="","",Cálculo!$B$6/Cálculo!$B$8+B151*Cálculo!$B$7/100)</f>
        <v/>
      </c>
      <c r="D151" s="11" t="str">
        <f aca="false">IF(A151="","",D150-(Cálculo!$B$10-D150*Cálculo!$B$7/100))</f>
        <v/>
      </c>
      <c r="E151" s="11" t="str">
        <f aca="false">IF(A151="","",Cálculo!$B$10)</f>
        <v/>
      </c>
    </row>
    <row r="152" customFormat="false" ht="15" hidden="false" customHeight="false" outlineLevel="0" collapsed="false">
      <c r="A152" s="0" t="str">
        <f aca="false">IF(151&lt;=Cálculo!$B$8,151,"")</f>
        <v/>
      </c>
      <c r="B152" s="11" t="str">
        <f aca="false">IF(A152="","",B151-Cálculo!$B$6/Cálculo!$B$8)</f>
        <v/>
      </c>
      <c r="C152" s="11" t="str">
        <f aca="false">IF(A152="","",Cálculo!$B$6/Cálculo!$B$8+B152*Cálculo!$B$7/100)</f>
        <v/>
      </c>
      <c r="D152" s="11" t="str">
        <f aca="false">IF(A152="","",D151-(Cálculo!$B$10-D151*Cálculo!$B$7/100))</f>
        <v/>
      </c>
      <c r="E152" s="11" t="str">
        <f aca="false">IF(A152="","",Cálculo!$B$10)</f>
        <v/>
      </c>
    </row>
    <row r="153" customFormat="false" ht="15" hidden="false" customHeight="false" outlineLevel="0" collapsed="false">
      <c r="A153" s="0" t="str">
        <f aca="false">IF(152&lt;=Cálculo!$B$8,152,"")</f>
        <v/>
      </c>
      <c r="B153" s="11" t="str">
        <f aca="false">IF(A153="","",B152-Cálculo!$B$6/Cálculo!$B$8)</f>
        <v/>
      </c>
      <c r="C153" s="11" t="str">
        <f aca="false">IF(A153="","",Cálculo!$B$6/Cálculo!$B$8+B153*Cálculo!$B$7/100)</f>
        <v/>
      </c>
      <c r="D153" s="11" t="str">
        <f aca="false">IF(A153="","",D152-(Cálculo!$B$10-D152*Cálculo!$B$7/100))</f>
        <v/>
      </c>
      <c r="E153" s="11" t="str">
        <f aca="false">IF(A153="","",Cálculo!$B$10)</f>
        <v/>
      </c>
    </row>
    <row r="154" customFormat="false" ht="15" hidden="false" customHeight="false" outlineLevel="0" collapsed="false">
      <c r="A154" s="0" t="str">
        <f aca="false">IF(153&lt;=Cálculo!$B$8,153,"")</f>
        <v/>
      </c>
      <c r="B154" s="11" t="str">
        <f aca="false">IF(A154="","",B153-Cálculo!$B$6/Cálculo!$B$8)</f>
        <v/>
      </c>
      <c r="C154" s="11" t="str">
        <f aca="false">IF(A154="","",Cálculo!$B$6/Cálculo!$B$8+B154*Cálculo!$B$7/100)</f>
        <v/>
      </c>
      <c r="D154" s="11" t="str">
        <f aca="false">IF(A154="","",D153-(Cálculo!$B$10-D153*Cálculo!$B$7/100))</f>
        <v/>
      </c>
      <c r="E154" s="11" t="str">
        <f aca="false">IF(A154="","",Cálculo!$B$10)</f>
        <v/>
      </c>
    </row>
    <row r="155" customFormat="false" ht="15" hidden="false" customHeight="false" outlineLevel="0" collapsed="false">
      <c r="A155" s="0" t="str">
        <f aca="false">IF(154&lt;=Cálculo!$B$8,154,"")</f>
        <v/>
      </c>
      <c r="B155" s="11" t="str">
        <f aca="false">IF(A155="","",B154-Cálculo!$B$6/Cálculo!$B$8)</f>
        <v/>
      </c>
      <c r="C155" s="11" t="str">
        <f aca="false">IF(A155="","",Cálculo!$B$6/Cálculo!$B$8+B155*Cálculo!$B$7/100)</f>
        <v/>
      </c>
      <c r="D155" s="11" t="str">
        <f aca="false">IF(A155="","",D154-(Cálculo!$B$10-D154*Cálculo!$B$7/100))</f>
        <v/>
      </c>
      <c r="E155" s="11" t="str">
        <f aca="false">IF(A155="","",Cálculo!$B$10)</f>
        <v/>
      </c>
    </row>
    <row r="156" customFormat="false" ht="15" hidden="false" customHeight="false" outlineLevel="0" collapsed="false">
      <c r="A156" s="0" t="str">
        <f aca="false">IF(155&lt;=Cálculo!$B$8,155,"")</f>
        <v/>
      </c>
      <c r="B156" s="11" t="str">
        <f aca="false">IF(A156="","",B155-Cálculo!$B$6/Cálculo!$B$8)</f>
        <v/>
      </c>
      <c r="C156" s="11" t="str">
        <f aca="false">IF(A156="","",Cálculo!$B$6/Cálculo!$B$8+B156*Cálculo!$B$7/100)</f>
        <v/>
      </c>
      <c r="D156" s="11" t="str">
        <f aca="false">IF(A156="","",D155-(Cálculo!$B$10-D155*Cálculo!$B$7/100))</f>
        <v/>
      </c>
      <c r="E156" s="11" t="str">
        <f aca="false">IF(A156="","",Cálculo!$B$10)</f>
        <v/>
      </c>
    </row>
    <row r="157" customFormat="false" ht="15" hidden="false" customHeight="false" outlineLevel="0" collapsed="false">
      <c r="A157" s="0" t="str">
        <f aca="false">IF(156&lt;=Cálculo!$B$8,156,"")</f>
        <v/>
      </c>
      <c r="B157" s="11" t="str">
        <f aca="false">IF(A157="","",B156-Cálculo!$B$6/Cálculo!$B$8)</f>
        <v/>
      </c>
      <c r="C157" s="11" t="str">
        <f aca="false">IF(A157="","",Cálculo!$B$6/Cálculo!$B$8+B157*Cálculo!$B$7/100)</f>
        <v/>
      </c>
      <c r="D157" s="11" t="str">
        <f aca="false">IF(A157="","",D156-(Cálculo!$B$10-D156*Cálculo!$B$7/100))</f>
        <v/>
      </c>
      <c r="E157" s="11" t="str">
        <f aca="false">IF(A157="","",Cálculo!$B$10)</f>
        <v/>
      </c>
    </row>
    <row r="158" customFormat="false" ht="15" hidden="false" customHeight="false" outlineLevel="0" collapsed="false">
      <c r="A158" s="0" t="str">
        <f aca="false">IF(157&lt;=Cálculo!$B$8,157,"")</f>
        <v/>
      </c>
      <c r="B158" s="11" t="str">
        <f aca="false">IF(A158="","",B157-Cálculo!$B$6/Cálculo!$B$8)</f>
        <v/>
      </c>
      <c r="C158" s="11" t="str">
        <f aca="false">IF(A158="","",Cálculo!$B$6/Cálculo!$B$8+B158*Cálculo!$B$7/100)</f>
        <v/>
      </c>
      <c r="D158" s="11" t="str">
        <f aca="false">IF(A158="","",D157-(Cálculo!$B$10-D157*Cálculo!$B$7/100))</f>
        <v/>
      </c>
      <c r="E158" s="11" t="str">
        <f aca="false">IF(A158="","",Cálculo!$B$10)</f>
        <v/>
      </c>
    </row>
    <row r="159" customFormat="false" ht="15" hidden="false" customHeight="false" outlineLevel="0" collapsed="false">
      <c r="A159" s="0" t="str">
        <f aca="false">IF(158&lt;=Cálculo!$B$8,158,"")</f>
        <v/>
      </c>
      <c r="B159" s="11" t="str">
        <f aca="false">IF(A159="","",B158-Cálculo!$B$6/Cálculo!$B$8)</f>
        <v/>
      </c>
      <c r="C159" s="11" t="str">
        <f aca="false">IF(A159="","",Cálculo!$B$6/Cálculo!$B$8+B159*Cálculo!$B$7/100)</f>
        <v/>
      </c>
      <c r="D159" s="11" t="str">
        <f aca="false">IF(A159="","",D158-(Cálculo!$B$10-D158*Cálculo!$B$7/100))</f>
        <v/>
      </c>
      <c r="E159" s="11" t="str">
        <f aca="false">IF(A159="","",Cálculo!$B$10)</f>
        <v/>
      </c>
    </row>
    <row r="160" customFormat="false" ht="15" hidden="false" customHeight="false" outlineLevel="0" collapsed="false">
      <c r="A160" s="0" t="str">
        <f aca="false">IF(159&lt;=Cálculo!$B$8,159,"")</f>
        <v/>
      </c>
      <c r="B160" s="11" t="str">
        <f aca="false">IF(A160="","",B159-Cálculo!$B$6/Cálculo!$B$8)</f>
        <v/>
      </c>
      <c r="C160" s="11" t="str">
        <f aca="false">IF(A160="","",Cálculo!$B$6/Cálculo!$B$8+B160*Cálculo!$B$7/100)</f>
        <v/>
      </c>
      <c r="D160" s="11" t="str">
        <f aca="false">IF(A160="","",D159-(Cálculo!$B$10-D159*Cálculo!$B$7/100))</f>
        <v/>
      </c>
      <c r="E160" s="11" t="str">
        <f aca="false">IF(A160="","",Cálculo!$B$10)</f>
        <v/>
      </c>
    </row>
    <row r="161" customFormat="false" ht="15" hidden="false" customHeight="false" outlineLevel="0" collapsed="false">
      <c r="A161" s="0" t="str">
        <f aca="false">IF(160&lt;=Cálculo!$B$8,160,"")</f>
        <v/>
      </c>
      <c r="B161" s="11" t="str">
        <f aca="false">IF(A161="","",B160-Cálculo!$B$6/Cálculo!$B$8)</f>
        <v/>
      </c>
      <c r="C161" s="11" t="str">
        <f aca="false">IF(A161="","",Cálculo!$B$6/Cálculo!$B$8+B161*Cálculo!$B$7/100)</f>
        <v/>
      </c>
      <c r="D161" s="11" t="str">
        <f aca="false">IF(A161="","",D160-(Cálculo!$B$10-D160*Cálculo!$B$7/100))</f>
        <v/>
      </c>
      <c r="E161" s="11" t="str">
        <f aca="false">IF(A161="","",Cálculo!$B$10)</f>
        <v/>
      </c>
    </row>
    <row r="162" customFormat="false" ht="15" hidden="false" customHeight="false" outlineLevel="0" collapsed="false">
      <c r="A162" s="0" t="str">
        <f aca="false">IF(161&lt;=Cálculo!$B$8,161,"")</f>
        <v/>
      </c>
      <c r="B162" s="11" t="str">
        <f aca="false">IF(A162="","",B161-Cálculo!$B$6/Cálculo!$B$8)</f>
        <v/>
      </c>
      <c r="C162" s="11" t="str">
        <f aca="false">IF(A162="","",Cálculo!$B$6/Cálculo!$B$8+B162*Cálculo!$B$7/100)</f>
        <v/>
      </c>
      <c r="D162" s="11" t="str">
        <f aca="false">IF(A162="","",D161-(Cálculo!$B$10-D161*Cálculo!$B$7/100))</f>
        <v/>
      </c>
      <c r="E162" s="11" t="str">
        <f aca="false">IF(A162="","",Cálculo!$B$10)</f>
        <v/>
      </c>
    </row>
    <row r="163" customFormat="false" ht="15" hidden="false" customHeight="false" outlineLevel="0" collapsed="false">
      <c r="A163" s="0" t="str">
        <f aca="false">IF(162&lt;=Cálculo!$B$8,162,"")</f>
        <v/>
      </c>
      <c r="B163" s="11" t="str">
        <f aca="false">IF(A163="","",B162-Cálculo!$B$6/Cálculo!$B$8)</f>
        <v/>
      </c>
      <c r="C163" s="11" t="str">
        <f aca="false">IF(A163="","",Cálculo!$B$6/Cálculo!$B$8+B163*Cálculo!$B$7/100)</f>
        <v/>
      </c>
      <c r="D163" s="11" t="str">
        <f aca="false">IF(A163="","",D162-(Cálculo!$B$10-D162*Cálculo!$B$7/100))</f>
        <v/>
      </c>
      <c r="E163" s="11" t="str">
        <f aca="false">IF(A163="","",Cálculo!$B$10)</f>
        <v/>
      </c>
    </row>
    <row r="164" customFormat="false" ht="15" hidden="false" customHeight="false" outlineLevel="0" collapsed="false">
      <c r="A164" s="0" t="str">
        <f aca="false">IF(163&lt;=Cálculo!$B$8,163,"")</f>
        <v/>
      </c>
      <c r="B164" s="11" t="str">
        <f aca="false">IF(A164="","",B163-Cálculo!$B$6/Cálculo!$B$8)</f>
        <v/>
      </c>
      <c r="C164" s="11" t="str">
        <f aca="false">IF(A164="","",Cálculo!$B$6/Cálculo!$B$8+B164*Cálculo!$B$7/100)</f>
        <v/>
      </c>
      <c r="D164" s="11" t="str">
        <f aca="false">IF(A164="","",D163-(Cálculo!$B$10-D163*Cálculo!$B$7/100))</f>
        <v/>
      </c>
      <c r="E164" s="11" t="str">
        <f aca="false">IF(A164="","",Cálculo!$B$10)</f>
        <v/>
      </c>
    </row>
    <row r="165" customFormat="false" ht="15" hidden="false" customHeight="false" outlineLevel="0" collapsed="false">
      <c r="A165" s="0" t="str">
        <f aca="false">IF(164&lt;=Cálculo!$B$8,164,"")</f>
        <v/>
      </c>
      <c r="B165" s="11" t="str">
        <f aca="false">IF(A165="","",B164-Cálculo!$B$6/Cálculo!$B$8)</f>
        <v/>
      </c>
      <c r="C165" s="11" t="str">
        <f aca="false">IF(A165="","",Cálculo!$B$6/Cálculo!$B$8+B165*Cálculo!$B$7/100)</f>
        <v/>
      </c>
      <c r="D165" s="11" t="str">
        <f aca="false">IF(A165="","",D164-(Cálculo!$B$10-D164*Cálculo!$B$7/100))</f>
        <v/>
      </c>
      <c r="E165" s="11" t="str">
        <f aca="false">IF(A165="","",Cálculo!$B$10)</f>
        <v/>
      </c>
    </row>
    <row r="166" customFormat="false" ht="15" hidden="false" customHeight="false" outlineLevel="0" collapsed="false">
      <c r="A166" s="0" t="str">
        <f aca="false">IF(165&lt;=Cálculo!$B$8,165,"")</f>
        <v/>
      </c>
      <c r="B166" s="11" t="str">
        <f aca="false">IF(A166="","",B165-Cálculo!$B$6/Cálculo!$B$8)</f>
        <v/>
      </c>
      <c r="C166" s="11" t="str">
        <f aca="false">IF(A166="","",Cálculo!$B$6/Cálculo!$B$8+B166*Cálculo!$B$7/100)</f>
        <v/>
      </c>
      <c r="D166" s="11" t="str">
        <f aca="false">IF(A166="","",D165-(Cálculo!$B$10-D165*Cálculo!$B$7/100))</f>
        <v/>
      </c>
      <c r="E166" s="11" t="str">
        <f aca="false">IF(A166="","",Cálculo!$B$10)</f>
        <v/>
      </c>
    </row>
    <row r="167" customFormat="false" ht="15" hidden="false" customHeight="false" outlineLevel="0" collapsed="false">
      <c r="A167" s="0" t="str">
        <f aca="false">IF(166&lt;=Cálculo!$B$8,166,"")</f>
        <v/>
      </c>
      <c r="B167" s="11" t="str">
        <f aca="false">IF(A167="","",B166-Cálculo!$B$6/Cálculo!$B$8)</f>
        <v/>
      </c>
      <c r="C167" s="11" t="str">
        <f aca="false">IF(A167="","",Cálculo!$B$6/Cálculo!$B$8+B167*Cálculo!$B$7/100)</f>
        <v/>
      </c>
      <c r="D167" s="11" t="str">
        <f aca="false">IF(A167="","",D166-(Cálculo!$B$10-D166*Cálculo!$B$7/100))</f>
        <v/>
      </c>
      <c r="E167" s="11" t="str">
        <f aca="false">IF(A167="","",Cálculo!$B$10)</f>
        <v/>
      </c>
    </row>
    <row r="168" customFormat="false" ht="15" hidden="false" customHeight="false" outlineLevel="0" collapsed="false">
      <c r="A168" s="0" t="str">
        <f aca="false">IF(167&lt;=Cálculo!$B$8,167,"")</f>
        <v/>
      </c>
      <c r="B168" s="11" t="str">
        <f aca="false">IF(A168="","",B167-Cálculo!$B$6/Cálculo!$B$8)</f>
        <v/>
      </c>
      <c r="C168" s="11" t="str">
        <f aca="false">IF(A168="","",Cálculo!$B$6/Cálculo!$B$8+B168*Cálculo!$B$7/100)</f>
        <v/>
      </c>
      <c r="D168" s="11" t="str">
        <f aca="false">IF(A168="","",D167-(Cálculo!$B$10-D167*Cálculo!$B$7/100))</f>
        <v/>
      </c>
      <c r="E168" s="11" t="str">
        <f aca="false">IF(A168="","",Cálculo!$B$10)</f>
        <v/>
      </c>
    </row>
    <row r="169" customFormat="false" ht="15" hidden="false" customHeight="false" outlineLevel="0" collapsed="false">
      <c r="A169" s="0" t="str">
        <f aca="false">IF(168&lt;=Cálculo!$B$8,168,"")</f>
        <v/>
      </c>
      <c r="B169" s="11" t="str">
        <f aca="false">IF(A169="","",B168-Cálculo!$B$6/Cálculo!$B$8)</f>
        <v/>
      </c>
      <c r="C169" s="11" t="str">
        <f aca="false">IF(A169="","",Cálculo!$B$6/Cálculo!$B$8+B169*Cálculo!$B$7/100)</f>
        <v/>
      </c>
      <c r="D169" s="11" t="str">
        <f aca="false">IF(A169="","",D168-(Cálculo!$B$10-D168*Cálculo!$B$7/100))</f>
        <v/>
      </c>
      <c r="E169" s="11" t="str">
        <f aca="false">IF(A169="","",Cálculo!$B$10)</f>
        <v/>
      </c>
    </row>
    <row r="170" customFormat="false" ht="15" hidden="false" customHeight="false" outlineLevel="0" collapsed="false">
      <c r="A170" s="0" t="str">
        <f aca="false">IF(169&lt;=Cálculo!$B$8,169,"")</f>
        <v/>
      </c>
      <c r="B170" s="11" t="str">
        <f aca="false">IF(A170="","",B169-Cálculo!$B$6/Cálculo!$B$8)</f>
        <v/>
      </c>
      <c r="C170" s="11" t="str">
        <f aca="false">IF(A170="","",Cálculo!$B$6/Cálculo!$B$8+B170*Cálculo!$B$7/100)</f>
        <v/>
      </c>
      <c r="D170" s="11" t="str">
        <f aca="false">IF(A170="","",D169-(Cálculo!$B$10-D169*Cálculo!$B$7/100))</f>
        <v/>
      </c>
      <c r="E170" s="11" t="str">
        <f aca="false">IF(A170="","",Cálculo!$B$10)</f>
        <v/>
      </c>
    </row>
    <row r="171" customFormat="false" ht="15" hidden="false" customHeight="false" outlineLevel="0" collapsed="false">
      <c r="A171" s="0" t="str">
        <f aca="false">IF(170&lt;=Cálculo!$B$8,170,"")</f>
        <v/>
      </c>
      <c r="B171" s="11" t="str">
        <f aca="false">IF(A171="","",B170-Cálculo!$B$6/Cálculo!$B$8)</f>
        <v/>
      </c>
      <c r="C171" s="11" t="str">
        <f aca="false">IF(A171="","",Cálculo!$B$6/Cálculo!$B$8+B171*Cálculo!$B$7/100)</f>
        <v/>
      </c>
      <c r="D171" s="11" t="str">
        <f aca="false">IF(A171="","",D170-(Cálculo!$B$10-D170*Cálculo!$B$7/100))</f>
        <v/>
      </c>
      <c r="E171" s="11" t="str">
        <f aca="false">IF(A171="","",Cálculo!$B$10)</f>
        <v/>
      </c>
    </row>
    <row r="172" customFormat="false" ht="15" hidden="false" customHeight="false" outlineLevel="0" collapsed="false">
      <c r="A172" s="0" t="str">
        <f aca="false">IF(171&lt;=Cálculo!$B$8,171,"")</f>
        <v/>
      </c>
      <c r="B172" s="11" t="str">
        <f aca="false">IF(A172="","",B171-Cálculo!$B$6/Cálculo!$B$8)</f>
        <v/>
      </c>
      <c r="C172" s="11" t="str">
        <f aca="false">IF(A172="","",Cálculo!$B$6/Cálculo!$B$8+B172*Cálculo!$B$7/100)</f>
        <v/>
      </c>
      <c r="D172" s="11" t="str">
        <f aca="false">IF(A172="","",D171-(Cálculo!$B$10-D171*Cálculo!$B$7/100))</f>
        <v/>
      </c>
      <c r="E172" s="11" t="str">
        <f aca="false">IF(A172="","",Cálculo!$B$10)</f>
        <v/>
      </c>
    </row>
    <row r="173" customFormat="false" ht="15" hidden="false" customHeight="false" outlineLevel="0" collapsed="false">
      <c r="A173" s="0" t="str">
        <f aca="false">IF(172&lt;=Cálculo!$B$8,172,"")</f>
        <v/>
      </c>
      <c r="B173" s="11" t="str">
        <f aca="false">IF(A173="","",B172-Cálculo!$B$6/Cálculo!$B$8)</f>
        <v/>
      </c>
      <c r="C173" s="11" t="str">
        <f aca="false">IF(A173="","",Cálculo!$B$6/Cálculo!$B$8+B173*Cálculo!$B$7/100)</f>
        <v/>
      </c>
      <c r="D173" s="11" t="str">
        <f aca="false">IF(A173="","",D172-(Cálculo!$B$10-D172*Cálculo!$B$7/100))</f>
        <v/>
      </c>
      <c r="E173" s="11" t="str">
        <f aca="false">IF(A173="","",Cálculo!$B$10)</f>
        <v/>
      </c>
    </row>
    <row r="174" customFormat="false" ht="15" hidden="false" customHeight="false" outlineLevel="0" collapsed="false">
      <c r="A174" s="0" t="str">
        <f aca="false">IF(173&lt;=Cálculo!$B$8,173,"")</f>
        <v/>
      </c>
      <c r="B174" s="11" t="str">
        <f aca="false">IF(A174="","",B173-Cálculo!$B$6/Cálculo!$B$8)</f>
        <v/>
      </c>
      <c r="C174" s="11" t="str">
        <f aca="false">IF(A174="","",Cálculo!$B$6/Cálculo!$B$8+B174*Cálculo!$B$7/100)</f>
        <v/>
      </c>
      <c r="D174" s="11" t="str">
        <f aca="false">IF(A174="","",D173-(Cálculo!$B$10-D173*Cálculo!$B$7/100))</f>
        <v/>
      </c>
      <c r="E174" s="11" t="str">
        <f aca="false">IF(A174="","",Cálculo!$B$10)</f>
        <v/>
      </c>
    </row>
    <row r="175" customFormat="false" ht="15" hidden="false" customHeight="false" outlineLevel="0" collapsed="false">
      <c r="A175" s="0" t="str">
        <f aca="false">IF(174&lt;=Cálculo!$B$8,174,"")</f>
        <v/>
      </c>
      <c r="B175" s="11" t="str">
        <f aca="false">IF(A175="","",B174-Cálculo!$B$6/Cálculo!$B$8)</f>
        <v/>
      </c>
      <c r="C175" s="11" t="str">
        <f aca="false">IF(A175="","",Cálculo!$B$6/Cálculo!$B$8+B175*Cálculo!$B$7/100)</f>
        <v/>
      </c>
      <c r="D175" s="11" t="str">
        <f aca="false">IF(A175="","",D174-(Cálculo!$B$10-D174*Cálculo!$B$7/100))</f>
        <v/>
      </c>
      <c r="E175" s="11" t="str">
        <f aca="false">IF(A175="","",Cálculo!$B$10)</f>
        <v/>
      </c>
    </row>
    <row r="176" customFormat="false" ht="15" hidden="false" customHeight="false" outlineLevel="0" collapsed="false">
      <c r="A176" s="0" t="str">
        <f aca="false">IF(175&lt;=Cálculo!$B$8,175,"")</f>
        <v/>
      </c>
      <c r="B176" s="11" t="str">
        <f aca="false">IF(A176="","",B175-Cálculo!$B$6/Cálculo!$B$8)</f>
        <v/>
      </c>
      <c r="C176" s="11" t="str">
        <f aca="false">IF(A176="","",Cálculo!$B$6/Cálculo!$B$8+B176*Cálculo!$B$7/100)</f>
        <v/>
      </c>
      <c r="D176" s="11" t="str">
        <f aca="false">IF(A176="","",D175-(Cálculo!$B$10-D175*Cálculo!$B$7/100))</f>
        <v/>
      </c>
      <c r="E176" s="11" t="str">
        <f aca="false">IF(A176="","",Cálculo!$B$10)</f>
        <v/>
      </c>
    </row>
    <row r="177" customFormat="false" ht="15" hidden="false" customHeight="false" outlineLevel="0" collapsed="false">
      <c r="A177" s="0" t="str">
        <f aca="false">IF(176&lt;=Cálculo!$B$8,176,"")</f>
        <v/>
      </c>
      <c r="B177" s="11" t="str">
        <f aca="false">IF(A177="","",B176-Cálculo!$B$6/Cálculo!$B$8)</f>
        <v/>
      </c>
      <c r="C177" s="11" t="str">
        <f aca="false">IF(A177="","",Cálculo!$B$6/Cálculo!$B$8+B177*Cálculo!$B$7/100)</f>
        <v/>
      </c>
      <c r="D177" s="11" t="str">
        <f aca="false">IF(A177="","",D176-(Cálculo!$B$10-D176*Cálculo!$B$7/100))</f>
        <v/>
      </c>
      <c r="E177" s="11" t="str">
        <f aca="false">IF(A177="","",Cálculo!$B$10)</f>
        <v/>
      </c>
    </row>
    <row r="178" customFormat="false" ht="15" hidden="false" customHeight="false" outlineLevel="0" collapsed="false">
      <c r="A178" s="0" t="str">
        <f aca="false">IF(177&lt;=Cálculo!$B$8,177,"")</f>
        <v/>
      </c>
      <c r="B178" s="11" t="str">
        <f aca="false">IF(A178="","",B177-Cálculo!$B$6/Cálculo!$B$8)</f>
        <v/>
      </c>
      <c r="C178" s="11" t="str">
        <f aca="false">IF(A178="","",Cálculo!$B$6/Cálculo!$B$8+B178*Cálculo!$B$7/100)</f>
        <v/>
      </c>
      <c r="D178" s="11" t="str">
        <f aca="false">IF(A178="","",D177-(Cálculo!$B$10-D177*Cálculo!$B$7/100))</f>
        <v/>
      </c>
      <c r="E178" s="11" t="str">
        <f aca="false">IF(A178="","",Cálculo!$B$10)</f>
        <v/>
      </c>
    </row>
    <row r="179" customFormat="false" ht="15" hidden="false" customHeight="false" outlineLevel="0" collapsed="false">
      <c r="A179" s="0" t="str">
        <f aca="false">IF(178&lt;=Cálculo!$B$8,178,"")</f>
        <v/>
      </c>
      <c r="B179" s="11" t="str">
        <f aca="false">IF(A179="","",B178-Cálculo!$B$6/Cálculo!$B$8)</f>
        <v/>
      </c>
      <c r="C179" s="11" t="str">
        <f aca="false">IF(A179="","",Cálculo!$B$6/Cálculo!$B$8+B179*Cálculo!$B$7/100)</f>
        <v/>
      </c>
      <c r="D179" s="11" t="str">
        <f aca="false">IF(A179="","",D178-(Cálculo!$B$10-D178*Cálculo!$B$7/100))</f>
        <v/>
      </c>
      <c r="E179" s="11" t="str">
        <f aca="false">IF(A179="","",Cálculo!$B$10)</f>
        <v/>
      </c>
    </row>
    <row r="180" customFormat="false" ht="15" hidden="false" customHeight="false" outlineLevel="0" collapsed="false">
      <c r="A180" s="0" t="str">
        <f aca="false">IF(179&lt;=Cálculo!$B$8,179,"")</f>
        <v/>
      </c>
      <c r="B180" s="11" t="str">
        <f aca="false">IF(A180="","",B179-Cálculo!$B$6/Cálculo!$B$8)</f>
        <v/>
      </c>
      <c r="C180" s="11" t="str">
        <f aca="false">IF(A180="","",Cálculo!$B$6/Cálculo!$B$8+B180*Cálculo!$B$7/100)</f>
        <v/>
      </c>
      <c r="D180" s="11" t="str">
        <f aca="false">IF(A180="","",D179-(Cálculo!$B$10-D179*Cálculo!$B$7/100))</f>
        <v/>
      </c>
      <c r="E180" s="11" t="str">
        <f aca="false">IF(A180="","",Cálculo!$B$10)</f>
        <v/>
      </c>
    </row>
    <row r="181" customFormat="false" ht="15" hidden="false" customHeight="false" outlineLevel="0" collapsed="false">
      <c r="A181" s="0" t="str">
        <f aca="false">IF(180&lt;=Cálculo!$B$8,180,"")</f>
        <v/>
      </c>
      <c r="B181" s="11" t="str">
        <f aca="false">IF(A181="","",B180-Cálculo!$B$6/Cálculo!$B$8)</f>
        <v/>
      </c>
      <c r="C181" s="11" t="str">
        <f aca="false">IF(A181="","",Cálculo!$B$6/Cálculo!$B$8+B181*Cálculo!$B$7/100)</f>
        <v/>
      </c>
      <c r="D181" s="11" t="str">
        <f aca="false">IF(A181="","",D180-(Cálculo!$B$10-D180*Cálculo!$B$7/100))</f>
        <v/>
      </c>
      <c r="E181" s="11" t="str">
        <f aca="false">IF(A181="","",Cálculo!$B$10)</f>
        <v/>
      </c>
    </row>
    <row r="182" customFormat="false" ht="15" hidden="false" customHeight="false" outlineLevel="0" collapsed="false">
      <c r="A182" s="0" t="str">
        <f aca="false">IF(181&lt;=Cálculo!$B$8,181,"")</f>
        <v/>
      </c>
      <c r="B182" s="11" t="str">
        <f aca="false">IF(A182="","",B181-Cálculo!$B$6/Cálculo!$B$8)</f>
        <v/>
      </c>
      <c r="C182" s="11" t="str">
        <f aca="false">IF(A182="","",Cálculo!$B$6/Cálculo!$B$8+B182*Cálculo!$B$7/100)</f>
        <v/>
      </c>
      <c r="D182" s="11" t="str">
        <f aca="false">IF(A182="","",D181-(Cálculo!$B$10-D181*Cálculo!$B$7/100))</f>
        <v/>
      </c>
      <c r="E182" s="11" t="str">
        <f aca="false">IF(A182="","",Cálculo!$B$10)</f>
        <v/>
      </c>
    </row>
    <row r="183" customFormat="false" ht="15" hidden="false" customHeight="false" outlineLevel="0" collapsed="false">
      <c r="A183" s="0" t="str">
        <f aca="false">IF(182&lt;=Cálculo!$B$8,182,"")</f>
        <v/>
      </c>
      <c r="B183" s="11" t="str">
        <f aca="false">IF(A183="","",B182-Cálculo!$B$6/Cálculo!$B$8)</f>
        <v/>
      </c>
      <c r="C183" s="11" t="str">
        <f aca="false">IF(A183="","",Cálculo!$B$6/Cálculo!$B$8+B183*Cálculo!$B$7/100)</f>
        <v/>
      </c>
      <c r="D183" s="11" t="str">
        <f aca="false">IF(A183="","",D182-(Cálculo!$B$10-D182*Cálculo!$B$7/100))</f>
        <v/>
      </c>
      <c r="E183" s="11" t="str">
        <f aca="false">IF(A183="","",Cálculo!$B$10)</f>
        <v/>
      </c>
    </row>
    <row r="184" customFormat="false" ht="15" hidden="false" customHeight="false" outlineLevel="0" collapsed="false">
      <c r="A184" s="0" t="str">
        <f aca="false">IF(183&lt;=Cálculo!$B$8,183,"")</f>
        <v/>
      </c>
      <c r="B184" s="11" t="str">
        <f aca="false">IF(A184="","",B183-Cálculo!$B$6/Cálculo!$B$8)</f>
        <v/>
      </c>
      <c r="C184" s="11" t="str">
        <f aca="false">IF(A184="","",Cálculo!$B$6/Cálculo!$B$8+B184*Cálculo!$B$7/100)</f>
        <v/>
      </c>
      <c r="D184" s="11" t="str">
        <f aca="false">IF(A184="","",D183-(Cálculo!$B$10-D183*Cálculo!$B$7/100))</f>
        <v/>
      </c>
      <c r="E184" s="11" t="str">
        <f aca="false">IF(A184="","",Cálculo!$B$10)</f>
        <v/>
      </c>
    </row>
    <row r="185" customFormat="false" ht="15" hidden="false" customHeight="false" outlineLevel="0" collapsed="false">
      <c r="A185" s="0" t="str">
        <f aca="false">IF(184&lt;=Cálculo!$B$8,184,"")</f>
        <v/>
      </c>
      <c r="B185" s="11" t="str">
        <f aca="false">IF(A185="","",B184-Cálculo!$B$6/Cálculo!$B$8)</f>
        <v/>
      </c>
      <c r="C185" s="11" t="str">
        <f aca="false">IF(A185="","",Cálculo!$B$6/Cálculo!$B$8+B185*Cálculo!$B$7/100)</f>
        <v/>
      </c>
      <c r="D185" s="11" t="str">
        <f aca="false">IF(A185="","",D184-(Cálculo!$B$10-D184*Cálculo!$B$7/100))</f>
        <v/>
      </c>
      <c r="E185" s="11" t="str">
        <f aca="false">IF(A185="","",Cálculo!$B$10)</f>
        <v/>
      </c>
    </row>
    <row r="186" customFormat="false" ht="15" hidden="false" customHeight="false" outlineLevel="0" collapsed="false">
      <c r="A186" s="0" t="str">
        <f aca="false">IF(185&lt;=Cálculo!$B$8,185,"")</f>
        <v/>
      </c>
      <c r="B186" s="11" t="str">
        <f aca="false">IF(A186="","",B185-Cálculo!$B$6/Cálculo!$B$8)</f>
        <v/>
      </c>
      <c r="C186" s="11" t="str">
        <f aca="false">IF(A186="","",Cálculo!$B$6/Cálculo!$B$8+B186*Cálculo!$B$7/100)</f>
        <v/>
      </c>
      <c r="D186" s="11" t="str">
        <f aca="false">IF(A186="","",D185-(Cálculo!$B$10-D185*Cálculo!$B$7/100))</f>
        <v/>
      </c>
      <c r="E186" s="11" t="str">
        <f aca="false">IF(A186="","",Cálculo!$B$10)</f>
        <v/>
      </c>
    </row>
    <row r="187" customFormat="false" ht="15" hidden="false" customHeight="false" outlineLevel="0" collapsed="false">
      <c r="A187" s="0" t="str">
        <f aca="false">IF(186&lt;=Cálculo!$B$8,186,"")</f>
        <v/>
      </c>
      <c r="B187" s="11" t="str">
        <f aca="false">IF(A187="","",B186-Cálculo!$B$6/Cálculo!$B$8)</f>
        <v/>
      </c>
      <c r="C187" s="11" t="str">
        <f aca="false">IF(A187="","",Cálculo!$B$6/Cálculo!$B$8+B187*Cálculo!$B$7/100)</f>
        <v/>
      </c>
      <c r="D187" s="11" t="str">
        <f aca="false">IF(A187="","",D186-(Cálculo!$B$10-D186*Cálculo!$B$7/100))</f>
        <v/>
      </c>
      <c r="E187" s="11" t="str">
        <f aca="false">IF(A187="","",Cálculo!$B$10)</f>
        <v/>
      </c>
    </row>
    <row r="188" customFormat="false" ht="15" hidden="false" customHeight="false" outlineLevel="0" collapsed="false">
      <c r="A188" s="0" t="str">
        <f aca="false">IF(187&lt;=Cálculo!$B$8,187,"")</f>
        <v/>
      </c>
      <c r="B188" s="11" t="str">
        <f aca="false">IF(A188="","",B187-Cálculo!$B$6/Cálculo!$B$8)</f>
        <v/>
      </c>
      <c r="C188" s="11" t="str">
        <f aca="false">IF(A188="","",Cálculo!$B$6/Cálculo!$B$8+B188*Cálculo!$B$7/100)</f>
        <v/>
      </c>
      <c r="D188" s="11" t="str">
        <f aca="false">IF(A188="","",D187-(Cálculo!$B$10-D187*Cálculo!$B$7/100))</f>
        <v/>
      </c>
      <c r="E188" s="11" t="str">
        <f aca="false">IF(A188="","",Cálculo!$B$10)</f>
        <v/>
      </c>
    </row>
    <row r="189" customFormat="false" ht="15" hidden="false" customHeight="false" outlineLevel="0" collapsed="false">
      <c r="A189" s="0" t="str">
        <f aca="false">IF(188&lt;=Cálculo!$B$8,188,"")</f>
        <v/>
      </c>
      <c r="B189" s="11" t="str">
        <f aca="false">IF(A189="","",B188-Cálculo!$B$6/Cálculo!$B$8)</f>
        <v/>
      </c>
      <c r="C189" s="11" t="str">
        <f aca="false">IF(A189="","",Cálculo!$B$6/Cálculo!$B$8+B189*Cálculo!$B$7/100)</f>
        <v/>
      </c>
      <c r="D189" s="11" t="str">
        <f aca="false">IF(A189="","",D188-(Cálculo!$B$10-D188*Cálculo!$B$7/100))</f>
        <v/>
      </c>
      <c r="E189" s="11" t="str">
        <f aca="false">IF(A189="","",Cálculo!$B$10)</f>
        <v/>
      </c>
    </row>
    <row r="190" customFormat="false" ht="15" hidden="false" customHeight="false" outlineLevel="0" collapsed="false">
      <c r="A190" s="0" t="str">
        <f aca="false">IF(189&lt;=Cálculo!$B$8,189,"")</f>
        <v/>
      </c>
      <c r="B190" s="11" t="str">
        <f aca="false">IF(A190="","",B189-Cálculo!$B$6/Cálculo!$B$8)</f>
        <v/>
      </c>
      <c r="C190" s="11" t="str">
        <f aca="false">IF(A190="","",Cálculo!$B$6/Cálculo!$B$8+B190*Cálculo!$B$7/100)</f>
        <v/>
      </c>
      <c r="D190" s="11" t="str">
        <f aca="false">IF(A190="","",D189-(Cálculo!$B$10-D189*Cálculo!$B$7/100))</f>
        <v/>
      </c>
      <c r="E190" s="11" t="str">
        <f aca="false">IF(A190="","",Cálculo!$B$10)</f>
        <v/>
      </c>
    </row>
    <row r="191" customFormat="false" ht="15" hidden="false" customHeight="false" outlineLevel="0" collapsed="false">
      <c r="A191" s="0" t="str">
        <f aca="false">IF(190&lt;=Cálculo!$B$8,190,"")</f>
        <v/>
      </c>
      <c r="B191" s="11" t="str">
        <f aca="false">IF(A191="","",B190-Cálculo!$B$6/Cálculo!$B$8)</f>
        <v/>
      </c>
      <c r="C191" s="11" t="str">
        <f aca="false">IF(A191="","",Cálculo!$B$6/Cálculo!$B$8+B191*Cálculo!$B$7/100)</f>
        <v/>
      </c>
      <c r="D191" s="11" t="str">
        <f aca="false">IF(A191="","",D190-(Cálculo!$B$10-D190*Cálculo!$B$7/100))</f>
        <v/>
      </c>
      <c r="E191" s="11" t="str">
        <f aca="false">IF(A191="","",Cálculo!$B$10)</f>
        <v/>
      </c>
    </row>
    <row r="192" customFormat="false" ht="15" hidden="false" customHeight="false" outlineLevel="0" collapsed="false">
      <c r="A192" s="0" t="str">
        <f aca="false">IF(191&lt;=Cálculo!$B$8,191,"")</f>
        <v/>
      </c>
      <c r="B192" s="11" t="str">
        <f aca="false">IF(A192="","",B191-Cálculo!$B$6/Cálculo!$B$8)</f>
        <v/>
      </c>
      <c r="C192" s="11" t="str">
        <f aca="false">IF(A192="","",Cálculo!$B$6/Cálculo!$B$8+B192*Cálculo!$B$7/100)</f>
        <v/>
      </c>
      <c r="D192" s="11" t="str">
        <f aca="false">IF(A192="","",D191-(Cálculo!$B$10-D191*Cálculo!$B$7/100))</f>
        <v/>
      </c>
      <c r="E192" s="11" t="str">
        <f aca="false">IF(A192="","",Cálculo!$B$10)</f>
        <v/>
      </c>
    </row>
    <row r="193" customFormat="false" ht="15" hidden="false" customHeight="false" outlineLevel="0" collapsed="false">
      <c r="A193" s="0" t="str">
        <f aca="false">IF(192&lt;=Cálculo!$B$8,192,"")</f>
        <v/>
      </c>
      <c r="B193" s="11" t="str">
        <f aca="false">IF(A193="","",B192-Cálculo!$B$6/Cálculo!$B$8)</f>
        <v/>
      </c>
      <c r="C193" s="11" t="str">
        <f aca="false">IF(A193="","",Cálculo!$B$6/Cálculo!$B$8+B193*Cálculo!$B$7/100)</f>
        <v/>
      </c>
      <c r="D193" s="11" t="str">
        <f aca="false">IF(A193="","",D192-(Cálculo!$B$10-D192*Cálculo!$B$7/100))</f>
        <v/>
      </c>
      <c r="E193" s="11" t="str">
        <f aca="false">IF(A193="","",Cálculo!$B$10)</f>
        <v/>
      </c>
    </row>
    <row r="194" customFormat="false" ht="15" hidden="false" customHeight="false" outlineLevel="0" collapsed="false">
      <c r="A194" s="0" t="str">
        <f aca="false">IF(193&lt;=Cálculo!$B$8,193,"")</f>
        <v/>
      </c>
      <c r="B194" s="11" t="str">
        <f aca="false">IF(A194="","",B193-Cálculo!$B$6/Cálculo!$B$8)</f>
        <v/>
      </c>
      <c r="C194" s="11" t="str">
        <f aca="false">IF(A194="","",Cálculo!$B$6/Cálculo!$B$8+B194*Cálculo!$B$7/100)</f>
        <v/>
      </c>
      <c r="D194" s="11" t="str">
        <f aca="false">IF(A194="","",D193-(Cálculo!$B$10-D193*Cálculo!$B$7/100))</f>
        <v/>
      </c>
      <c r="E194" s="11" t="str">
        <f aca="false">IF(A194="","",Cálculo!$B$10)</f>
        <v/>
      </c>
    </row>
    <row r="195" customFormat="false" ht="15" hidden="false" customHeight="false" outlineLevel="0" collapsed="false">
      <c r="A195" s="0" t="str">
        <f aca="false">IF(194&lt;=Cálculo!$B$8,194,"")</f>
        <v/>
      </c>
      <c r="B195" s="11" t="str">
        <f aca="false">IF(A195="","",B194-Cálculo!$B$6/Cálculo!$B$8)</f>
        <v/>
      </c>
      <c r="C195" s="11" t="str">
        <f aca="false">IF(A195="","",Cálculo!$B$6/Cálculo!$B$8+B195*Cálculo!$B$7/100)</f>
        <v/>
      </c>
      <c r="D195" s="11" t="str">
        <f aca="false">IF(A195="","",D194-(Cálculo!$B$10-D194*Cálculo!$B$7/100))</f>
        <v/>
      </c>
      <c r="E195" s="11" t="str">
        <f aca="false">IF(A195="","",Cálculo!$B$10)</f>
        <v/>
      </c>
    </row>
    <row r="196" customFormat="false" ht="15" hidden="false" customHeight="false" outlineLevel="0" collapsed="false">
      <c r="A196" s="0" t="str">
        <f aca="false">IF(195&lt;=Cálculo!$B$8,195,"")</f>
        <v/>
      </c>
      <c r="B196" s="11" t="str">
        <f aca="false">IF(A196="","",B195-Cálculo!$B$6/Cálculo!$B$8)</f>
        <v/>
      </c>
      <c r="C196" s="11" t="str">
        <f aca="false">IF(A196="","",Cálculo!$B$6/Cálculo!$B$8+B196*Cálculo!$B$7/100)</f>
        <v/>
      </c>
      <c r="D196" s="11" t="str">
        <f aca="false">IF(A196="","",D195-(Cálculo!$B$10-D195*Cálculo!$B$7/100))</f>
        <v/>
      </c>
      <c r="E196" s="11" t="str">
        <f aca="false">IF(A196="","",Cálculo!$B$10)</f>
        <v/>
      </c>
    </row>
    <row r="197" customFormat="false" ht="15" hidden="false" customHeight="false" outlineLevel="0" collapsed="false">
      <c r="A197" s="0" t="str">
        <f aca="false">IF(196&lt;=Cálculo!$B$8,196,"")</f>
        <v/>
      </c>
      <c r="B197" s="11" t="str">
        <f aca="false">IF(A197="","",B196-Cálculo!$B$6/Cálculo!$B$8)</f>
        <v/>
      </c>
      <c r="C197" s="11" t="str">
        <f aca="false">IF(A197="","",Cálculo!$B$6/Cálculo!$B$8+B197*Cálculo!$B$7/100)</f>
        <v/>
      </c>
      <c r="D197" s="11" t="str">
        <f aca="false">IF(A197="","",D196-(Cálculo!$B$10-D196*Cálculo!$B$7/100))</f>
        <v/>
      </c>
      <c r="E197" s="11" t="str">
        <f aca="false">IF(A197="","",Cálculo!$B$10)</f>
        <v/>
      </c>
    </row>
    <row r="198" customFormat="false" ht="15" hidden="false" customHeight="false" outlineLevel="0" collapsed="false">
      <c r="A198" s="0" t="str">
        <f aca="false">IF(197&lt;=Cálculo!$B$8,197,"")</f>
        <v/>
      </c>
      <c r="B198" s="11" t="str">
        <f aca="false">IF(A198="","",B197-Cálculo!$B$6/Cálculo!$B$8)</f>
        <v/>
      </c>
      <c r="C198" s="11" t="str">
        <f aca="false">IF(A198="","",Cálculo!$B$6/Cálculo!$B$8+B198*Cálculo!$B$7/100)</f>
        <v/>
      </c>
      <c r="D198" s="11" t="str">
        <f aca="false">IF(A198="","",D197-(Cálculo!$B$10-D197*Cálculo!$B$7/100))</f>
        <v/>
      </c>
      <c r="E198" s="11" t="str">
        <f aca="false">IF(A198="","",Cálculo!$B$10)</f>
        <v/>
      </c>
    </row>
    <row r="199" customFormat="false" ht="15" hidden="false" customHeight="false" outlineLevel="0" collapsed="false">
      <c r="A199" s="0" t="str">
        <f aca="false">IF(198&lt;=Cálculo!$B$8,198,"")</f>
        <v/>
      </c>
      <c r="B199" s="11" t="str">
        <f aca="false">IF(A199="","",B198-Cálculo!$B$6/Cálculo!$B$8)</f>
        <v/>
      </c>
      <c r="C199" s="11" t="str">
        <f aca="false">IF(A199="","",Cálculo!$B$6/Cálculo!$B$8+B199*Cálculo!$B$7/100)</f>
        <v/>
      </c>
      <c r="D199" s="11" t="str">
        <f aca="false">IF(A199="","",D198-(Cálculo!$B$10-D198*Cálculo!$B$7/100))</f>
        <v/>
      </c>
      <c r="E199" s="11" t="str">
        <f aca="false">IF(A199="","",Cálculo!$B$10)</f>
        <v/>
      </c>
    </row>
    <row r="200" customFormat="false" ht="15" hidden="false" customHeight="false" outlineLevel="0" collapsed="false">
      <c r="A200" s="0" t="str">
        <f aca="false">IF(199&lt;=Cálculo!$B$8,199,"")</f>
        <v/>
      </c>
      <c r="B200" s="11" t="str">
        <f aca="false">IF(A200="","",B199-Cálculo!$B$6/Cálculo!$B$8)</f>
        <v/>
      </c>
      <c r="C200" s="11" t="str">
        <f aca="false">IF(A200="","",Cálculo!$B$6/Cálculo!$B$8+B200*Cálculo!$B$7/100)</f>
        <v/>
      </c>
      <c r="D200" s="11" t="str">
        <f aca="false">IF(A200="","",D199-(Cálculo!$B$10-D199*Cálculo!$B$7/100))</f>
        <v/>
      </c>
      <c r="E200" s="11" t="str">
        <f aca="false">IF(A200="","",Cálculo!$B$10)</f>
        <v/>
      </c>
    </row>
    <row r="201" customFormat="false" ht="15" hidden="false" customHeight="false" outlineLevel="0" collapsed="false">
      <c r="A201" s="0" t="str">
        <f aca="false">IF(200&lt;=Cálculo!$B$8,200,"")</f>
        <v/>
      </c>
      <c r="B201" s="11" t="str">
        <f aca="false">IF(A201="","",B200-Cálculo!$B$6/Cálculo!$B$8)</f>
        <v/>
      </c>
      <c r="C201" s="11" t="str">
        <f aca="false">IF(A201="","",Cálculo!$B$6/Cálculo!$B$8+B201*Cálculo!$B$7/100)</f>
        <v/>
      </c>
      <c r="D201" s="11" t="str">
        <f aca="false">IF(A201="","",D200-(Cálculo!$B$10-D200*Cálculo!$B$7/100))</f>
        <v/>
      </c>
      <c r="E201" s="11" t="str">
        <f aca="false">IF(A201="","",Cálculo!$B$10)</f>
        <v/>
      </c>
    </row>
    <row r="202" customFormat="false" ht="15" hidden="false" customHeight="false" outlineLevel="0" collapsed="false">
      <c r="A202" s="0" t="str">
        <f aca="false">IF(201&lt;=Cálculo!$B$8,201,"")</f>
        <v/>
      </c>
      <c r="B202" s="11" t="str">
        <f aca="false">IF(A202="","",B201-Cálculo!$B$6/Cálculo!$B$8)</f>
        <v/>
      </c>
      <c r="C202" s="11" t="str">
        <f aca="false">IF(A202="","",Cálculo!$B$6/Cálculo!$B$8+B202*Cálculo!$B$7/100)</f>
        <v/>
      </c>
      <c r="D202" s="11" t="str">
        <f aca="false">IF(A202="","",D201-(Cálculo!$B$10-D201*Cálculo!$B$7/100))</f>
        <v/>
      </c>
      <c r="E202" s="11" t="str">
        <f aca="false">IF(A202="","",Cálculo!$B$10)</f>
        <v/>
      </c>
    </row>
    <row r="203" customFormat="false" ht="15" hidden="false" customHeight="false" outlineLevel="0" collapsed="false">
      <c r="A203" s="0" t="str">
        <f aca="false">IF(202&lt;=Cálculo!$B$8,202,"")</f>
        <v/>
      </c>
      <c r="B203" s="11" t="str">
        <f aca="false">IF(A203="","",B202-Cálculo!$B$6/Cálculo!$B$8)</f>
        <v/>
      </c>
      <c r="C203" s="11" t="str">
        <f aca="false">IF(A203="","",Cálculo!$B$6/Cálculo!$B$8+B203*Cálculo!$B$7/100)</f>
        <v/>
      </c>
      <c r="D203" s="11" t="str">
        <f aca="false">IF(A203="","",D202-(Cálculo!$B$10-D202*Cálculo!$B$7/100))</f>
        <v/>
      </c>
      <c r="E203" s="11" t="str">
        <f aca="false">IF(A203="","",Cálculo!$B$10)</f>
        <v/>
      </c>
    </row>
    <row r="204" customFormat="false" ht="15" hidden="false" customHeight="false" outlineLevel="0" collapsed="false">
      <c r="A204" s="0" t="str">
        <f aca="false">IF(203&lt;=Cálculo!$B$8,203,"")</f>
        <v/>
      </c>
      <c r="B204" s="11" t="str">
        <f aca="false">IF(A204="","",B203-Cálculo!$B$6/Cálculo!$B$8)</f>
        <v/>
      </c>
      <c r="C204" s="11" t="str">
        <f aca="false">IF(A204="","",Cálculo!$B$6/Cálculo!$B$8+B204*Cálculo!$B$7/100)</f>
        <v/>
      </c>
      <c r="D204" s="11" t="str">
        <f aca="false">IF(A204="","",D203-(Cálculo!$B$10-D203*Cálculo!$B$7/100))</f>
        <v/>
      </c>
      <c r="E204" s="11" t="str">
        <f aca="false">IF(A204="","",Cálculo!$B$10)</f>
        <v/>
      </c>
    </row>
    <row r="205" customFormat="false" ht="15" hidden="false" customHeight="false" outlineLevel="0" collapsed="false">
      <c r="A205" s="0" t="str">
        <f aca="false">IF(204&lt;=Cálculo!$B$8,204,"")</f>
        <v/>
      </c>
      <c r="B205" s="11" t="str">
        <f aca="false">IF(A205="","",B204-Cálculo!$B$6/Cálculo!$B$8)</f>
        <v/>
      </c>
      <c r="C205" s="11" t="str">
        <f aca="false">IF(A205="","",Cálculo!$B$6/Cálculo!$B$8+B205*Cálculo!$B$7/100)</f>
        <v/>
      </c>
      <c r="D205" s="11" t="str">
        <f aca="false">IF(A205="","",D204-(Cálculo!$B$10-D204*Cálculo!$B$7/100))</f>
        <v/>
      </c>
      <c r="E205" s="11" t="str">
        <f aca="false">IF(A205="","",Cálculo!$B$10)</f>
        <v/>
      </c>
    </row>
    <row r="206" customFormat="false" ht="15" hidden="false" customHeight="false" outlineLevel="0" collapsed="false">
      <c r="A206" s="0" t="str">
        <f aca="false">IF(205&lt;=Cálculo!$B$8,205,"")</f>
        <v/>
      </c>
      <c r="B206" s="11" t="str">
        <f aca="false">IF(A206="","",B205-Cálculo!$B$6/Cálculo!$B$8)</f>
        <v/>
      </c>
      <c r="C206" s="11" t="str">
        <f aca="false">IF(A206="","",Cálculo!$B$6/Cálculo!$B$8+B206*Cálculo!$B$7/100)</f>
        <v/>
      </c>
      <c r="D206" s="11" t="str">
        <f aca="false">IF(A206="","",D205-(Cálculo!$B$10-D205*Cálculo!$B$7/100))</f>
        <v/>
      </c>
      <c r="E206" s="11" t="str">
        <f aca="false">IF(A206="","",Cálculo!$B$10)</f>
        <v/>
      </c>
    </row>
    <row r="207" customFormat="false" ht="15" hidden="false" customHeight="false" outlineLevel="0" collapsed="false">
      <c r="A207" s="0" t="str">
        <f aca="false">IF(206&lt;=Cálculo!$B$8,206,"")</f>
        <v/>
      </c>
      <c r="B207" s="11" t="str">
        <f aca="false">IF(A207="","",B206-Cálculo!$B$6/Cálculo!$B$8)</f>
        <v/>
      </c>
      <c r="C207" s="11" t="str">
        <f aca="false">IF(A207="","",Cálculo!$B$6/Cálculo!$B$8+B207*Cálculo!$B$7/100)</f>
        <v/>
      </c>
      <c r="D207" s="11" t="str">
        <f aca="false">IF(A207="","",D206-(Cálculo!$B$10-D206*Cálculo!$B$7/100))</f>
        <v/>
      </c>
      <c r="E207" s="11" t="str">
        <f aca="false">IF(A207="","",Cálculo!$B$10)</f>
        <v/>
      </c>
    </row>
    <row r="208" customFormat="false" ht="15" hidden="false" customHeight="false" outlineLevel="0" collapsed="false">
      <c r="A208" s="0" t="str">
        <f aca="false">IF(207&lt;=Cálculo!$B$8,207,"")</f>
        <v/>
      </c>
      <c r="B208" s="11" t="str">
        <f aca="false">IF(A208="","",B207-Cálculo!$B$6/Cálculo!$B$8)</f>
        <v/>
      </c>
      <c r="C208" s="11" t="str">
        <f aca="false">IF(A208="","",Cálculo!$B$6/Cálculo!$B$8+B208*Cálculo!$B$7/100)</f>
        <v/>
      </c>
      <c r="D208" s="11" t="str">
        <f aca="false">IF(A208="","",D207-(Cálculo!$B$10-D207*Cálculo!$B$7/100))</f>
        <v/>
      </c>
      <c r="E208" s="11" t="str">
        <f aca="false">IF(A208="","",Cálculo!$B$10)</f>
        <v/>
      </c>
    </row>
    <row r="209" customFormat="false" ht="15" hidden="false" customHeight="false" outlineLevel="0" collapsed="false">
      <c r="A209" s="0" t="str">
        <f aca="false">IF(208&lt;=Cálculo!$B$8,208,"")</f>
        <v/>
      </c>
      <c r="B209" s="11" t="str">
        <f aca="false">IF(A209="","",B208-Cálculo!$B$6/Cálculo!$B$8)</f>
        <v/>
      </c>
      <c r="C209" s="11" t="str">
        <f aca="false">IF(A209="","",Cálculo!$B$6/Cálculo!$B$8+B209*Cálculo!$B$7/100)</f>
        <v/>
      </c>
      <c r="D209" s="11" t="str">
        <f aca="false">IF(A209="","",D208-(Cálculo!$B$10-D208*Cálculo!$B$7/100))</f>
        <v/>
      </c>
      <c r="E209" s="11" t="str">
        <f aca="false">IF(A209="","",Cálculo!$B$10)</f>
        <v/>
      </c>
    </row>
    <row r="210" customFormat="false" ht="15" hidden="false" customHeight="false" outlineLevel="0" collapsed="false">
      <c r="A210" s="0" t="str">
        <f aca="false">IF(209&lt;=Cálculo!$B$8,209,"")</f>
        <v/>
      </c>
      <c r="B210" s="11" t="str">
        <f aca="false">IF(A210="","",B209-Cálculo!$B$6/Cálculo!$B$8)</f>
        <v/>
      </c>
      <c r="C210" s="11" t="str">
        <f aca="false">IF(A210="","",Cálculo!$B$6/Cálculo!$B$8+B210*Cálculo!$B$7/100)</f>
        <v/>
      </c>
      <c r="D210" s="11" t="str">
        <f aca="false">IF(A210="","",D209-(Cálculo!$B$10-D209*Cálculo!$B$7/100))</f>
        <v/>
      </c>
      <c r="E210" s="11" t="str">
        <f aca="false">IF(A210="","",Cálculo!$B$10)</f>
        <v/>
      </c>
    </row>
    <row r="211" customFormat="false" ht="15" hidden="false" customHeight="false" outlineLevel="0" collapsed="false">
      <c r="A211" s="0" t="str">
        <f aca="false">IF(210&lt;=Cálculo!$B$8,210,"")</f>
        <v/>
      </c>
      <c r="B211" s="11" t="str">
        <f aca="false">IF(A211="","",B210-Cálculo!$B$6/Cálculo!$B$8)</f>
        <v/>
      </c>
      <c r="C211" s="11" t="str">
        <f aca="false">IF(A211="","",Cálculo!$B$6/Cálculo!$B$8+B211*Cálculo!$B$7/100)</f>
        <v/>
      </c>
      <c r="D211" s="11" t="str">
        <f aca="false">IF(A211="","",D210-(Cálculo!$B$10-D210*Cálculo!$B$7/100))</f>
        <v/>
      </c>
      <c r="E211" s="11" t="str">
        <f aca="false">IF(A211="","",Cálculo!$B$10)</f>
        <v/>
      </c>
    </row>
    <row r="212" customFormat="false" ht="15" hidden="false" customHeight="false" outlineLevel="0" collapsed="false">
      <c r="A212" s="0" t="str">
        <f aca="false">IF(211&lt;=Cálculo!$B$8,211,"")</f>
        <v/>
      </c>
      <c r="B212" s="11" t="str">
        <f aca="false">IF(A212="","",B211-Cálculo!$B$6/Cálculo!$B$8)</f>
        <v/>
      </c>
      <c r="C212" s="11" t="str">
        <f aca="false">IF(A212="","",Cálculo!$B$6/Cálculo!$B$8+B212*Cálculo!$B$7/100)</f>
        <v/>
      </c>
      <c r="D212" s="11" t="str">
        <f aca="false">IF(A212="","",D211-(Cálculo!$B$10-D211*Cálculo!$B$7/100))</f>
        <v/>
      </c>
      <c r="E212" s="11" t="str">
        <f aca="false">IF(A212="","",Cálculo!$B$10)</f>
        <v/>
      </c>
    </row>
    <row r="213" customFormat="false" ht="15" hidden="false" customHeight="false" outlineLevel="0" collapsed="false">
      <c r="A213" s="0" t="str">
        <f aca="false">IF(212&lt;=Cálculo!$B$8,212,"")</f>
        <v/>
      </c>
      <c r="B213" s="11" t="str">
        <f aca="false">IF(A213="","",B212-Cálculo!$B$6/Cálculo!$B$8)</f>
        <v/>
      </c>
      <c r="C213" s="11" t="str">
        <f aca="false">IF(A213="","",Cálculo!$B$6/Cálculo!$B$8+B213*Cálculo!$B$7/100)</f>
        <v/>
      </c>
      <c r="D213" s="11" t="str">
        <f aca="false">IF(A213="","",D212-(Cálculo!$B$10-D212*Cálculo!$B$7/100))</f>
        <v/>
      </c>
      <c r="E213" s="11" t="str">
        <f aca="false">IF(A213="","",Cálculo!$B$10)</f>
        <v/>
      </c>
    </row>
    <row r="214" customFormat="false" ht="15" hidden="false" customHeight="false" outlineLevel="0" collapsed="false">
      <c r="A214" s="0" t="str">
        <f aca="false">IF(213&lt;=Cálculo!$B$8,213,"")</f>
        <v/>
      </c>
      <c r="B214" s="11" t="str">
        <f aca="false">IF(A214="","",B213-Cálculo!$B$6/Cálculo!$B$8)</f>
        <v/>
      </c>
      <c r="C214" s="11" t="str">
        <f aca="false">IF(A214="","",Cálculo!$B$6/Cálculo!$B$8+B214*Cálculo!$B$7/100)</f>
        <v/>
      </c>
      <c r="D214" s="11" t="str">
        <f aca="false">IF(A214="","",D213-(Cálculo!$B$10-D213*Cálculo!$B$7/100))</f>
        <v/>
      </c>
      <c r="E214" s="11" t="str">
        <f aca="false">IF(A214="","",Cálculo!$B$10)</f>
        <v/>
      </c>
    </row>
    <row r="215" customFormat="false" ht="15" hidden="false" customHeight="false" outlineLevel="0" collapsed="false">
      <c r="A215" s="0" t="str">
        <f aca="false">IF(214&lt;=Cálculo!$B$8,214,"")</f>
        <v/>
      </c>
      <c r="B215" s="11" t="str">
        <f aca="false">IF(A215="","",B214-Cálculo!$B$6/Cálculo!$B$8)</f>
        <v/>
      </c>
      <c r="C215" s="11" t="str">
        <f aca="false">IF(A215="","",Cálculo!$B$6/Cálculo!$B$8+B215*Cálculo!$B$7/100)</f>
        <v/>
      </c>
      <c r="D215" s="11" t="str">
        <f aca="false">IF(A215="","",D214-(Cálculo!$B$10-D214*Cálculo!$B$7/100))</f>
        <v/>
      </c>
      <c r="E215" s="11" t="str">
        <f aca="false">IF(A215="","",Cálculo!$B$10)</f>
        <v/>
      </c>
    </row>
    <row r="216" customFormat="false" ht="15" hidden="false" customHeight="false" outlineLevel="0" collapsed="false">
      <c r="A216" s="0" t="str">
        <f aca="false">IF(215&lt;=Cálculo!$B$8,215,"")</f>
        <v/>
      </c>
      <c r="B216" s="11" t="str">
        <f aca="false">IF(A216="","",B215-Cálculo!$B$6/Cálculo!$B$8)</f>
        <v/>
      </c>
      <c r="C216" s="11" t="str">
        <f aca="false">IF(A216="","",Cálculo!$B$6/Cálculo!$B$8+B216*Cálculo!$B$7/100)</f>
        <v/>
      </c>
      <c r="D216" s="11" t="str">
        <f aca="false">IF(A216="","",D215-(Cálculo!$B$10-D215*Cálculo!$B$7/100))</f>
        <v/>
      </c>
      <c r="E216" s="11" t="str">
        <f aca="false">IF(A216="","",Cálculo!$B$10)</f>
        <v/>
      </c>
    </row>
    <row r="217" customFormat="false" ht="15" hidden="false" customHeight="false" outlineLevel="0" collapsed="false">
      <c r="A217" s="0" t="str">
        <f aca="false">IF(216&lt;=Cálculo!$B$8,216,"")</f>
        <v/>
      </c>
      <c r="B217" s="11" t="str">
        <f aca="false">IF(A217="","",B216-Cálculo!$B$6/Cálculo!$B$8)</f>
        <v/>
      </c>
      <c r="C217" s="11" t="str">
        <f aca="false">IF(A217="","",Cálculo!$B$6/Cálculo!$B$8+B217*Cálculo!$B$7/100)</f>
        <v/>
      </c>
      <c r="D217" s="11" t="str">
        <f aca="false">IF(A217="","",D216-(Cálculo!$B$10-D216*Cálculo!$B$7/100))</f>
        <v/>
      </c>
      <c r="E217" s="11" t="str">
        <f aca="false">IF(A217="","",Cálculo!$B$10)</f>
        <v/>
      </c>
    </row>
    <row r="218" customFormat="false" ht="15" hidden="false" customHeight="false" outlineLevel="0" collapsed="false">
      <c r="A218" s="0" t="str">
        <f aca="false">IF(217&lt;=Cálculo!$B$8,217,"")</f>
        <v/>
      </c>
      <c r="B218" s="11" t="str">
        <f aca="false">IF(A218="","",B217-Cálculo!$B$6/Cálculo!$B$8)</f>
        <v/>
      </c>
      <c r="C218" s="11" t="str">
        <f aca="false">IF(A218="","",Cálculo!$B$6/Cálculo!$B$8+B218*Cálculo!$B$7/100)</f>
        <v/>
      </c>
      <c r="D218" s="11" t="str">
        <f aca="false">IF(A218="","",D217-(Cálculo!$B$10-D217*Cálculo!$B$7/100))</f>
        <v/>
      </c>
      <c r="E218" s="11" t="str">
        <f aca="false">IF(A218="","",Cálculo!$B$10)</f>
        <v/>
      </c>
    </row>
    <row r="219" customFormat="false" ht="15" hidden="false" customHeight="false" outlineLevel="0" collapsed="false">
      <c r="A219" s="0" t="str">
        <f aca="false">IF(218&lt;=Cálculo!$B$8,218,"")</f>
        <v/>
      </c>
      <c r="B219" s="11" t="str">
        <f aca="false">IF(A219="","",B218-Cálculo!$B$6/Cálculo!$B$8)</f>
        <v/>
      </c>
      <c r="C219" s="11" t="str">
        <f aca="false">IF(A219="","",Cálculo!$B$6/Cálculo!$B$8+B219*Cálculo!$B$7/100)</f>
        <v/>
      </c>
      <c r="D219" s="11" t="str">
        <f aca="false">IF(A219="","",D218-(Cálculo!$B$10-D218*Cálculo!$B$7/100))</f>
        <v/>
      </c>
      <c r="E219" s="11" t="str">
        <f aca="false">IF(A219="","",Cálculo!$B$10)</f>
        <v/>
      </c>
    </row>
    <row r="220" customFormat="false" ht="15" hidden="false" customHeight="false" outlineLevel="0" collapsed="false">
      <c r="A220" s="0" t="str">
        <f aca="false">IF(219&lt;=Cálculo!$B$8,219,"")</f>
        <v/>
      </c>
      <c r="B220" s="11" t="str">
        <f aca="false">IF(A220="","",B219-Cálculo!$B$6/Cálculo!$B$8)</f>
        <v/>
      </c>
      <c r="C220" s="11" t="str">
        <f aca="false">IF(A220="","",Cálculo!$B$6/Cálculo!$B$8+B220*Cálculo!$B$7/100)</f>
        <v/>
      </c>
      <c r="D220" s="11" t="str">
        <f aca="false">IF(A220="","",D219-(Cálculo!$B$10-D219*Cálculo!$B$7/100))</f>
        <v/>
      </c>
      <c r="E220" s="11" t="str">
        <f aca="false">IF(A220="","",Cálculo!$B$10)</f>
        <v/>
      </c>
    </row>
    <row r="221" customFormat="false" ht="15" hidden="false" customHeight="false" outlineLevel="0" collapsed="false">
      <c r="A221" s="0" t="str">
        <f aca="false">IF(220&lt;=Cálculo!$B$8,220,"")</f>
        <v/>
      </c>
      <c r="B221" s="11" t="str">
        <f aca="false">IF(A221="","",B220-Cálculo!$B$6/Cálculo!$B$8)</f>
        <v/>
      </c>
      <c r="C221" s="11" t="str">
        <f aca="false">IF(A221="","",Cálculo!$B$6/Cálculo!$B$8+B221*Cálculo!$B$7/100)</f>
        <v/>
      </c>
      <c r="D221" s="11" t="str">
        <f aca="false">IF(A221="","",D220-(Cálculo!$B$10-D220*Cálculo!$B$7/100))</f>
        <v/>
      </c>
      <c r="E221" s="11" t="str">
        <f aca="false">IF(A221="","",Cálculo!$B$10)</f>
        <v/>
      </c>
    </row>
    <row r="222" customFormat="false" ht="15" hidden="false" customHeight="false" outlineLevel="0" collapsed="false">
      <c r="A222" s="0" t="str">
        <f aca="false">IF(221&lt;=Cálculo!$B$8,221,"")</f>
        <v/>
      </c>
      <c r="B222" s="11" t="str">
        <f aca="false">IF(A222="","",B221-Cálculo!$B$6/Cálculo!$B$8)</f>
        <v/>
      </c>
      <c r="C222" s="11" t="str">
        <f aca="false">IF(A222="","",Cálculo!$B$6/Cálculo!$B$8+B222*Cálculo!$B$7/100)</f>
        <v/>
      </c>
      <c r="D222" s="11" t="str">
        <f aca="false">IF(A222="","",D221-(Cálculo!$B$10-D221*Cálculo!$B$7/100))</f>
        <v/>
      </c>
      <c r="E222" s="11" t="str">
        <f aca="false">IF(A222="","",Cálculo!$B$10)</f>
        <v/>
      </c>
    </row>
    <row r="223" customFormat="false" ht="15" hidden="false" customHeight="false" outlineLevel="0" collapsed="false">
      <c r="A223" s="0" t="str">
        <f aca="false">IF(222&lt;=Cálculo!$B$8,222,"")</f>
        <v/>
      </c>
      <c r="B223" s="11" t="str">
        <f aca="false">IF(A223="","",B222-Cálculo!$B$6/Cálculo!$B$8)</f>
        <v/>
      </c>
      <c r="C223" s="11" t="str">
        <f aca="false">IF(A223="","",Cálculo!$B$6/Cálculo!$B$8+B223*Cálculo!$B$7/100)</f>
        <v/>
      </c>
      <c r="D223" s="11" t="str">
        <f aca="false">IF(A223="","",D222-(Cálculo!$B$10-D222*Cálculo!$B$7/100))</f>
        <v/>
      </c>
      <c r="E223" s="11" t="str">
        <f aca="false">IF(A223="","",Cálculo!$B$10)</f>
        <v/>
      </c>
    </row>
    <row r="224" customFormat="false" ht="15" hidden="false" customHeight="false" outlineLevel="0" collapsed="false">
      <c r="A224" s="0" t="str">
        <f aca="false">IF(223&lt;=Cálculo!$B$8,223,"")</f>
        <v/>
      </c>
      <c r="B224" s="11" t="str">
        <f aca="false">IF(A224="","",B223-Cálculo!$B$6/Cálculo!$B$8)</f>
        <v/>
      </c>
      <c r="C224" s="11" t="str">
        <f aca="false">IF(A224="","",Cálculo!$B$6/Cálculo!$B$8+B224*Cálculo!$B$7/100)</f>
        <v/>
      </c>
      <c r="D224" s="11" t="str">
        <f aca="false">IF(A224="","",D223-(Cálculo!$B$10-D223*Cálculo!$B$7/100))</f>
        <v/>
      </c>
      <c r="E224" s="11" t="str">
        <f aca="false">IF(A224="","",Cálculo!$B$10)</f>
        <v/>
      </c>
    </row>
    <row r="225" customFormat="false" ht="15" hidden="false" customHeight="false" outlineLevel="0" collapsed="false">
      <c r="A225" s="0" t="str">
        <f aca="false">IF(224&lt;=Cálculo!$B$8,224,"")</f>
        <v/>
      </c>
      <c r="B225" s="11" t="str">
        <f aca="false">IF(A225="","",B224-Cálculo!$B$6/Cálculo!$B$8)</f>
        <v/>
      </c>
      <c r="C225" s="11" t="str">
        <f aca="false">IF(A225="","",Cálculo!$B$6/Cálculo!$B$8+B225*Cálculo!$B$7/100)</f>
        <v/>
      </c>
      <c r="D225" s="11" t="str">
        <f aca="false">IF(A225="","",D224-(Cálculo!$B$10-D224*Cálculo!$B$7/100))</f>
        <v/>
      </c>
      <c r="E225" s="11" t="str">
        <f aca="false">IF(A225="","",Cálculo!$B$10)</f>
        <v/>
      </c>
    </row>
    <row r="226" customFormat="false" ht="15" hidden="false" customHeight="false" outlineLevel="0" collapsed="false">
      <c r="A226" s="0" t="str">
        <f aca="false">IF(225&lt;=Cálculo!$B$8,225,"")</f>
        <v/>
      </c>
      <c r="B226" s="11" t="str">
        <f aca="false">IF(A226="","",B225-Cálculo!$B$6/Cálculo!$B$8)</f>
        <v/>
      </c>
      <c r="C226" s="11" t="str">
        <f aca="false">IF(A226="","",Cálculo!$B$6/Cálculo!$B$8+B226*Cálculo!$B$7/100)</f>
        <v/>
      </c>
      <c r="D226" s="11" t="str">
        <f aca="false">IF(A226="","",D225-(Cálculo!$B$10-D225*Cálculo!$B$7/100))</f>
        <v/>
      </c>
      <c r="E226" s="11" t="str">
        <f aca="false">IF(A226="","",Cálculo!$B$10)</f>
        <v/>
      </c>
    </row>
    <row r="227" customFormat="false" ht="15" hidden="false" customHeight="false" outlineLevel="0" collapsed="false">
      <c r="A227" s="0" t="str">
        <f aca="false">IF(226&lt;=Cálculo!$B$8,226,"")</f>
        <v/>
      </c>
      <c r="B227" s="11" t="str">
        <f aca="false">IF(A227="","",B226-Cálculo!$B$6/Cálculo!$B$8)</f>
        <v/>
      </c>
      <c r="C227" s="11" t="str">
        <f aca="false">IF(A227="","",Cálculo!$B$6/Cálculo!$B$8+B227*Cálculo!$B$7/100)</f>
        <v/>
      </c>
      <c r="D227" s="11" t="str">
        <f aca="false">IF(A227="","",D226-(Cálculo!$B$10-D226*Cálculo!$B$7/100))</f>
        <v/>
      </c>
      <c r="E227" s="11" t="str">
        <f aca="false">IF(A227="","",Cálculo!$B$10)</f>
        <v/>
      </c>
    </row>
    <row r="228" customFormat="false" ht="15" hidden="false" customHeight="false" outlineLevel="0" collapsed="false">
      <c r="A228" s="0" t="str">
        <f aca="false">IF(227&lt;=Cálculo!$B$8,227,"")</f>
        <v/>
      </c>
      <c r="B228" s="11" t="str">
        <f aca="false">IF(A228="","",B227-Cálculo!$B$6/Cálculo!$B$8)</f>
        <v/>
      </c>
      <c r="C228" s="11" t="str">
        <f aca="false">IF(A228="","",Cálculo!$B$6/Cálculo!$B$8+B228*Cálculo!$B$7/100)</f>
        <v/>
      </c>
      <c r="D228" s="11" t="str">
        <f aca="false">IF(A228="","",D227-(Cálculo!$B$10-D227*Cálculo!$B$7/100))</f>
        <v/>
      </c>
      <c r="E228" s="11" t="str">
        <f aca="false">IF(A228="","",Cálculo!$B$10)</f>
        <v/>
      </c>
    </row>
    <row r="229" customFormat="false" ht="15" hidden="false" customHeight="false" outlineLevel="0" collapsed="false">
      <c r="A229" s="0" t="str">
        <f aca="false">IF(228&lt;=Cálculo!$B$8,228,"")</f>
        <v/>
      </c>
      <c r="B229" s="11" t="str">
        <f aca="false">IF(A229="","",B228-Cálculo!$B$6/Cálculo!$B$8)</f>
        <v/>
      </c>
      <c r="C229" s="11" t="str">
        <f aca="false">IF(A229="","",Cálculo!$B$6/Cálculo!$B$8+B229*Cálculo!$B$7/100)</f>
        <v/>
      </c>
      <c r="D229" s="11" t="str">
        <f aca="false">IF(A229="","",D228-(Cálculo!$B$10-D228*Cálculo!$B$7/100))</f>
        <v/>
      </c>
      <c r="E229" s="11" t="str">
        <f aca="false">IF(A229="","",Cálculo!$B$10)</f>
        <v/>
      </c>
    </row>
    <row r="230" customFormat="false" ht="15" hidden="false" customHeight="false" outlineLevel="0" collapsed="false">
      <c r="A230" s="0" t="str">
        <f aca="false">IF(229&lt;=Cálculo!$B$8,229,"")</f>
        <v/>
      </c>
      <c r="B230" s="11" t="str">
        <f aca="false">IF(A230="","",B229-Cálculo!$B$6/Cálculo!$B$8)</f>
        <v/>
      </c>
      <c r="C230" s="11" t="str">
        <f aca="false">IF(A230="","",Cálculo!$B$6/Cálculo!$B$8+B230*Cálculo!$B$7/100)</f>
        <v/>
      </c>
      <c r="D230" s="11" t="str">
        <f aca="false">IF(A230="","",D229-(Cálculo!$B$10-D229*Cálculo!$B$7/100))</f>
        <v/>
      </c>
      <c r="E230" s="11" t="str">
        <f aca="false">IF(A230="","",Cálculo!$B$10)</f>
        <v/>
      </c>
    </row>
    <row r="231" customFormat="false" ht="15" hidden="false" customHeight="false" outlineLevel="0" collapsed="false">
      <c r="A231" s="0" t="str">
        <f aca="false">IF(230&lt;=Cálculo!$B$8,230,"")</f>
        <v/>
      </c>
      <c r="B231" s="11" t="str">
        <f aca="false">IF(A231="","",B230-Cálculo!$B$6/Cálculo!$B$8)</f>
        <v/>
      </c>
      <c r="C231" s="11" t="str">
        <f aca="false">IF(A231="","",Cálculo!$B$6/Cálculo!$B$8+B231*Cálculo!$B$7/100)</f>
        <v/>
      </c>
      <c r="D231" s="11" t="str">
        <f aca="false">IF(A231="","",D230-(Cálculo!$B$10-D230*Cálculo!$B$7/100))</f>
        <v/>
      </c>
      <c r="E231" s="11" t="str">
        <f aca="false">IF(A231="","",Cálculo!$B$10)</f>
        <v/>
      </c>
    </row>
    <row r="232" customFormat="false" ht="15" hidden="false" customHeight="false" outlineLevel="0" collapsed="false">
      <c r="A232" s="0" t="str">
        <f aca="false">IF(231&lt;=Cálculo!$B$8,231,"")</f>
        <v/>
      </c>
      <c r="B232" s="11" t="str">
        <f aca="false">IF(A232="","",B231-Cálculo!$B$6/Cálculo!$B$8)</f>
        <v/>
      </c>
      <c r="C232" s="11" t="str">
        <f aca="false">IF(A232="","",Cálculo!$B$6/Cálculo!$B$8+B232*Cálculo!$B$7/100)</f>
        <v/>
      </c>
      <c r="D232" s="11" t="str">
        <f aca="false">IF(A232="","",D231-(Cálculo!$B$10-D231*Cálculo!$B$7/100))</f>
        <v/>
      </c>
      <c r="E232" s="11" t="str">
        <f aca="false">IF(A232="","",Cálculo!$B$10)</f>
        <v/>
      </c>
    </row>
    <row r="233" customFormat="false" ht="15" hidden="false" customHeight="false" outlineLevel="0" collapsed="false">
      <c r="A233" s="0" t="str">
        <f aca="false">IF(232&lt;=Cálculo!$B$8,232,"")</f>
        <v/>
      </c>
      <c r="B233" s="11" t="str">
        <f aca="false">IF(A233="","",B232-Cálculo!$B$6/Cálculo!$B$8)</f>
        <v/>
      </c>
      <c r="C233" s="11" t="str">
        <f aca="false">IF(A233="","",Cálculo!$B$6/Cálculo!$B$8+B233*Cálculo!$B$7/100)</f>
        <v/>
      </c>
      <c r="D233" s="11" t="str">
        <f aca="false">IF(A233="","",D232-(Cálculo!$B$10-D232*Cálculo!$B$7/100))</f>
        <v/>
      </c>
      <c r="E233" s="11" t="str">
        <f aca="false">IF(A233="","",Cálculo!$B$10)</f>
        <v/>
      </c>
    </row>
    <row r="234" customFormat="false" ht="15" hidden="false" customHeight="false" outlineLevel="0" collapsed="false">
      <c r="A234" s="0" t="str">
        <f aca="false">IF(233&lt;=Cálculo!$B$8,233,"")</f>
        <v/>
      </c>
      <c r="B234" s="11" t="str">
        <f aca="false">IF(A234="","",B233-Cálculo!$B$6/Cálculo!$B$8)</f>
        <v/>
      </c>
      <c r="C234" s="11" t="str">
        <f aca="false">IF(A234="","",Cálculo!$B$6/Cálculo!$B$8+B234*Cálculo!$B$7/100)</f>
        <v/>
      </c>
      <c r="D234" s="11" t="str">
        <f aca="false">IF(A234="","",D233-(Cálculo!$B$10-D233*Cálculo!$B$7/100))</f>
        <v/>
      </c>
      <c r="E234" s="11" t="str">
        <f aca="false">IF(A234="","",Cálculo!$B$10)</f>
        <v/>
      </c>
    </row>
    <row r="235" customFormat="false" ht="15" hidden="false" customHeight="false" outlineLevel="0" collapsed="false">
      <c r="A235" s="0" t="str">
        <f aca="false">IF(234&lt;=Cálculo!$B$8,234,"")</f>
        <v/>
      </c>
      <c r="B235" s="11" t="str">
        <f aca="false">IF(A235="","",B234-Cálculo!$B$6/Cálculo!$B$8)</f>
        <v/>
      </c>
      <c r="C235" s="11" t="str">
        <f aca="false">IF(A235="","",Cálculo!$B$6/Cálculo!$B$8+B235*Cálculo!$B$7/100)</f>
        <v/>
      </c>
      <c r="D235" s="11" t="str">
        <f aca="false">IF(A235="","",D234-(Cálculo!$B$10-D234*Cálculo!$B$7/100))</f>
        <v/>
      </c>
      <c r="E235" s="11" t="str">
        <f aca="false">IF(A235="","",Cálculo!$B$10)</f>
        <v/>
      </c>
    </row>
    <row r="236" customFormat="false" ht="15" hidden="false" customHeight="false" outlineLevel="0" collapsed="false">
      <c r="A236" s="0" t="str">
        <f aca="false">IF(235&lt;=Cálculo!$B$8,235,"")</f>
        <v/>
      </c>
      <c r="B236" s="11" t="str">
        <f aca="false">IF(A236="","",B235-Cálculo!$B$6/Cálculo!$B$8)</f>
        <v/>
      </c>
      <c r="C236" s="11" t="str">
        <f aca="false">IF(A236="","",Cálculo!$B$6/Cálculo!$B$8+B236*Cálculo!$B$7/100)</f>
        <v/>
      </c>
      <c r="D236" s="11" t="str">
        <f aca="false">IF(A236="","",D235-(Cálculo!$B$10-D235*Cálculo!$B$7/100))</f>
        <v/>
      </c>
      <c r="E236" s="11" t="str">
        <f aca="false">IF(A236="","",Cálculo!$B$10)</f>
        <v/>
      </c>
    </row>
    <row r="237" customFormat="false" ht="15" hidden="false" customHeight="false" outlineLevel="0" collapsed="false">
      <c r="A237" s="0" t="str">
        <f aca="false">IF(236&lt;=Cálculo!$B$8,236,"")</f>
        <v/>
      </c>
      <c r="B237" s="11" t="str">
        <f aca="false">IF(A237="","",B236-Cálculo!$B$6/Cálculo!$B$8)</f>
        <v/>
      </c>
      <c r="C237" s="11" t="str">
        <f aca="false">IF(A237="","",Cálculo!$B$6/Cálculo!$B$8+B237*Cálculo!$B$7/100)</f>
        <v/>
      </c>
      <c r="D237" s="11" t="str">
        <f aca="false">IF(A237="","",D236-(Cálculo!$B$10-D236*Cálculo!$B$7/100))</f>
        <v/>
      </c>
      <c r="E237" s="11" t="str">
        <f aca="false">IF(A237="","",Cálculo!$B$10)</f>
        <v/>
      </c>
    </row>
    <row r="238" customFormat="false" ht="15" hidden="false" customHeight="false" outlineLevel="0" collapsed="false">
      <c r="A238" s="0" t="str">
        <f aca="false">IF(237&lt;=Cálculo!$B$8,237,"")</f>
        <v/>
      </c>
      <c r="B238" s="11" t="str">
        <f aca="false">IF(A238="","",B237-Cálculo!$B$6/Cálculo!$B$8)</f>
        <v/>
      </c>
      <c r="C238" s="11" t="str">
        <f aca="false">IF(A238="","",Cálculo!$B$6/Cálculo!$B$8+B238*Cálculo!$B$7/100)</f>
        <v/>
      </c>
      <c r="D238" s="11" t="str">
        <f aca="false">IF(A238="","",D237-(Cálculo!$B$10-D237*Cálculo!$B$7/100))</f>
        <v/>
      </c>
      <c r="E238" s="11" t="str">
        <f aca="false">IF(A238="","",Cálculo!$B$10)</f>
        <v/>
      </c>
    </row>
    <row r="239" customFormat="false" ht="15" hidden="false" customHeight="false" outlineLevel="0" collapsed="false">
      <c r="A239" s="0" t="str">
        <f aca="false">IF(238&lt;=Cálculo!$B$8,238,"")</f>
        <v/>
      </c>
      <c r="B239" s="11" t="str">
        <f aca="false">IF(A239="","",B238-Cálculo!$B$6/Cálculo!$B$8)</f>
        <v/>
      </c>
      <c r="C239" s="11" t="str">
        <f aca="false">IF(A239="","",Cálculo!$B$6/Cálculo!$B$8+B239*Cálculo!$B$7/100)</f>
        <v/>
      </c>
      <c r="D239" s="11" t="str">
        <f aca="false">IF(A239="","",D238-(Cálculo!$B$10-D238*Cálculo!$B$7/100))</f>
        <v/>
      </c>
      <c r="E239" s="11" t="str">
        <f aca="false">IF(A239="","",Cálculo!$B$10)</f>
        <v/>
      </c>
    </row>
    <row r="240" customFormat="false" ht="15" hidden="false" customHeight="false" outlineLevel="0" collapsed="false">
      <c r="A240" s="0" t="str">
        <f aca="false">IF(239&lt;=Cálculo!$B$8,239,"")</f>
        <v/>
      </c>
      <c r="B240" s="11" t="str">
        <f aca="false">IF(A240="","",B239-Cálculo!$B$6/Cálculo!$B$8)</f>
        <v/>
      </c>
      <c r="C240" s="11" t="str">
        <f aca="false">IF(A240="","",Cálculo!$B$6/Cálculo!$B$8+B240*Cálculo!$B$7/100)</f>
        <v/>
      </c>
      <c r="D240" s="11" t="str">
        <f aca="false">IF(A240="","",D239-(Cálculo!$B$10-D239*Cálculo!$B$7/100))</f>
        <v/>
      </c>
      <c r="E240" s="11" t="str">
        <f aca="false">IF(A240="","",Cálculo!$B$10)</f>
        <v/>
      </c>
    </row>
    <row r="241" customFormat="false" ht="15" hidden="false" customHeight="false" outlineLevel="0" collapsed="false">
      <c r="A241" s="0" t="str">
        <f aca="false">IF(240&lt;=Cálculo!$B$8,240,"")</f>
        <v/>
      </c>
      <c r="B241" s="11" t="str">
        <f aca="false">IF(A241="","",B240-Cálculo!$B$6/Cálculo!$B$8)</f>
        <v/>
      </c>
      <c r="C241" s="11" t="str">
        <f aca="false">IF(A241="","",Cálculo!$B$6/Cálculo!$B$8+B241*Cálculo!$B$7/100)</f>
        <v/>
      </c>
      <c r="D241" s="11" t="str">
        <f aca="false">IF(A241="","",D240-(Cálculo!$B$10-D240*Cálculo!$B$7/100))</f>
        <v/>
      </c>
      <c r="E241" s="11" t="str">
        <f aca="false">IF(A241="","",Cálculo!$B$10)</f>
        <v/>
      </c>
    </row>
    <row r="242" customFormat="false" ht="15" hidden="false" customHeight="false" outlineLevel="0" collapsed="false">
      <c r="A242" s="0" t="str">
        <f aca="false">IF(241&lt;=Cálculo!$B$8,241,"")</f>
        <v/>
      </c>
      <c r="B242" s="11" t="str">
        <f aca="false">IF(A242="","",B241-Cálculo!$B$6/Cálculo!$B$8)</f>
        <v/>
      </c>
      <c r="C242" s="11" t="str">
        <f aca="false">IF(A242="","",Cálculo!$B$6/Cálculo!$B$8+B242*Cálculo!$B$7/100)</f>
        <v/>
      </c>
      <c r="D242" s="11" t="str">
        <f aca="false">IF(A242="","",D241-(Cálculo!$B$10-D241*Cálculo!$B$7/100))</f>
        <v/>
      </c>
      <c r="E242" s="11" t="str">
        <f aca="false">IF(A242="","",Cálculo!$B$10)</f>
        <v/>
      </c>
    </row>
    <row r="243" customFormat="false" ht="15" hidden="false" customHeight="false" outlineLevel="0" collapsed="false">
      <c r="A243" s="0" t="str">
        <f aca="false">IF(242&lt;=Cálculo!$B$8,242,"")</f>
        <v/>
      </c>
      <c r="B243" s="11" t="str">
        <f aca="false">IF(A243="","",B242-Cálculo!$B$6/Cálculo!$B$8)</f>
        <v/>
      </c>
      <c r="C243" s="11" t="str">
        <f aca="false">IF(A243="","",Cálculo!$B$6/Cálculo!$B$8+B243*Cálculo!$B$7/100)</f>
        <v/>
      </c>
      <c r="D243" s="11" t="str">
        <f aca="false">IF(A243="","",D242-(Cálculo!$B$10-D242*Cálculo!$B$7/100))</f>
        <v/>
      </c>
      <c r="E243" s="11" t="str">
        <f aca="false">IF(A243="","",Cálculo!$B$10)</f>
        <v/>
      </c>
    </row>
    <row r="244" customFormat="false" ht="15" hidden="false" customHeight="false" outlineLevel="0" collapsed="false">
      <c r="A244" s="0" t="str">
        <f aca="false">IF(243&lt;=Cálculo!$B$8,243,"")</f>
        <v/>
      </c>
      <c r="B244" s="11" t="str">
        <f aca="false">IF(A244="","",B243-Cálculo!$B$6/Cálculo!$B$8)</f>
        <v/>
      </c>
      <c r="C244" s="11" t="str">
        <f aca="false">IF(A244="","",Cálculo!$B$6/Cálculo!$B$8+B244*Cálculo!$B$7/100)</f>
        <v/>
      </c>
      <c r="D244" s="11" t="str">
        <f aca="false">IF(A244="","",D243-(Cálculo!$B$10-D243*Cálculo!$B$7/100))</f>
        <v/>
      </c>
      <c r="E244" s="11" t="str">
        <f aca="false">IF(A244="","",Cálculo!$B$10)</f>
        <v/>
      </c>
    </row>
    <row r="245" customFormat="false" ht="15" hidden="false" customHeight="false" outlineLevel="0" collapsed="false">
      <c r="A245" s="0" t="str">
        <f aca="false">IF(244&lt;=Cálculo!$B$8,244,"")</f>
        <v/>
      </c>
      <c r="B245" s="11" t="str">
        <f aca="false">IF(A245="","",B244-Cálculo!$B$6/Cálculo!$B$8)</f>
        <v/>
      </c>
      <c r="C245" s="11" t="str">
        <f aca="false">IF(A245="","",Cálculo!$B$6/Cálculo!$B$8+B245*Cálculo!$B$7/100)</f>
        <v/>
      </c>
      <c r="D245" s="11" t="str">
        <f aca="false">IF(A245="","",D244-(Cálculo!$B$10-D244*Cálculo!$B$7/100))</f>
        <v/>
      </c>
      <c r="E245" s="11" t="str">
        <f aca="false">IF(A245="","",Cálculo!$B$10)</f>
        <v/>
      </c>
    </row>
    <row r="246" customFormat="false" ht="15" hidden="false" customHeight="false" outlineLevel="0" collapsed="false">
      <c r="A246" s="0" t="str">
        <f aca="false">IF(245&lt;=Cálculo!$B$8,245,"")</f>
        <v/>
      </c>
      <c r="B246" s="11" t="str">
        <f aca="false">IF(A246="","",B245-Cálculo!$B$6/Cálculo!$B$8)</f>
        <v/>
      </c>
      <c r="C246" s="11" t="str">
        <f aca="false">IF(A246="","",Cálculo!$B$6/Cálculo!$B$8+B246*Cálculo!$B$7/100)</f>
        <v/>
      </c>
      <c r="D246" s="11" t="str">
        <f aca="false">IF(A246="","",D245-(Cálculo!$B$10-D245*Cálculo!$B$7/100))</f>
        <v/>
      </c>
      <c r="E246" s="11" t="str">
        <f aca="false">IF(A246="","",Cálculo!$B$10)</f>
        <v/>
      </c>
    </row>
    <row r="247" customFormat="false" ht="15" hidden="false" customHeight="false" outlineLevel="0" collapsed="false">
      <c r="A247" s="0" t="str">
        <f aca="false">IF(246&lt;=Cálculo!$B$8,246,"")</f>
        <v/>
      </c>
      <c r="B247" s="11" t="str">
        <f aca="false">IF(A247="","",B246-Cálculo!$B$6/Cálculo!$B$8)</f>
        <v/>
      </c>
      <c r="C247" s="11" t="str">
        <f aca="false">IF(A247="","",Cálculo!$B$6/Cálculo!$B$8+B247*Cálculo!$B$7/100)</f>
        <v/>
      </c>
      <c r="D247" s="11" t="str">
        <f aca="false">IF(A247="","",D246-(Cálculo!$B$10-D246*Cálculo!$B$7/100))</f>
        <v/>
      </c>
      <c r="E247" s="11" t="str">
        <f aca="false">IF(A247="","",Cálculo!$B$10)</f>
        <v/>
      </c>
    </row>
    <row r="248" customFormat="false" ht="15" hidden="false" customHeight="false" outlineLevel="0" collapsed="false">
      <c r="A248" s="0" t="str">
        <f aca="false">IF(247&lt;=Cálculo!$B$8,247,"")</f>
        <v/>
      </c>
      <c r="B248" s="11" t="str">
        <f aca="false">IF(A248="","",B247-Cálculo!$B$6/Cálculo!$B$8)</f>
        <v/>
      </c>
      <c r="C248" s="11" t="str">
        <f aca="false">IF(A248="","",Cálculo!$B$6/Cálculo!$B$8+B248*Cálculo!$B$7/100)</f>
        <v/>
      </c>
      <c r="D248" s="11" t="str">
        <f aca="false">IF(A248="","",D247-(Cálculo!$B$10-D247*Cálculo!$B$7/100))</f>
        <v/>
      </c>
      <c r="E248" s="11" t="str">
        <f aca="false">IF(A248="","",Cálculo!$B$10)</f>
        <v/>
      </c>
    </row>
    <row r="249" customFormat="false" ht="15" hidden="false" customHeight="false" outlineLevel="0" collapsed="false">
      <c r="A249" s="0" t="str">
        <f aca="false">IF(248&lt;=Cálculo!$B$8,248,"")</f>
        <v/>
      </c>
      <c r="B249" s="11" t="str">
        <f aca="false">IF(A249="","",B248-Cálculo!$B$6/Cálculo!$B$8)</f>
        <v/>
      </c>
      <c r="C249" s="11" t="str">
        <f aca="false">IF(A249="","",Cálculo!$B$6/Cálculo!$B$8+B249*Cálculo!$B$7/100)</f>
        <v/>
      </c>
      <c r="D249" s="11" t="str">
        <f aca="false">IF(A249="","",D248-(Cálculo!$B$10-D248*Cálculo!$B$7/100))</f>
        <v/>
      </c>
      <c r="E249" s="11" t="str">
        <f aca="false">IF(A249="","",Cálculo!$B$10)</f>
        <v/>
      </c>
    </row>
    <row r="250" customFormat="false" ht="15" hidden="false" customHeight="false" outlineLevel="0" collapsed="false">
      <c r="A250" s="0" t="str">
        <f aca="false">IF(249&lt;=Cálculo!$B$8,249,"")</f>
        <v/>
      </c>
      <c r="B250" s="11" t="str">
        <f aca="false">IF(A250="","",B249-Cálculo!$B$6/Cálculo!$B$8)</f>
        <v/>
      </c>
      <c r="C250" s="11" t="str">
        <f aca="false">IF(A250="","",Cálculo!$B$6/Cálculo!$B$8+B250*Cálculo!$B$7/100)</f>
        <v/>
      </c>
      <c r="D250" s="11" t="str">
        <f aca="false">IF(A250="","",D249-(Cálculo!$B$10-D249*Cálculo!$B$7/100))</f>
        <v/>
      </c>
      <c r="E250" s="11" t="str">
        <f aca="false">IF(A250="","",Cálculo!$B$10)</f>
        <v/>
      </c>
    </row>
    <row r="251" customFormat="false" ht="15" hidden="false" customHeight="false" outlineLevel="0" collapsed="false">
      <c r="A251" s="0" t="str">
        <f aca="false">IF(250&lt;=Cálculo!$B$8,250,"")</f>
        <v/>
      </c>
      <c r="B251" s="11" t="str">
        <f aca="false">IF(A251="","",B250-Cálculo!$B$6/Cálculo!$B$8)</f>
        <v/>
      </c>
      <c r="C251" s="11" t="str">
        <f aca="false">IF(A251="","",Cálculo!$B$6/Cálculo!$B$8+B251*Cálculo!$B$7/100)</f>
        <v/>
      </c>
      <c r="D251" s="11" t="str">
        <f aca="false">IF(A251="","",D250-(Cálculo!$B$10-D250*Cálculo!$B$7/100))</f>
        <v/>
      </c>
      <c r="E251" s="11" t="str">
        <f aca="false">IF(A251="","",Cálculo!$B$10)</f>
        <v/>
      </c>
    </row>
    <row r="252" customFormat="false" ht="15" hidden="false" customHeight="false" outlineLevel="0" collapsed="false">
      <c r="A252" s="0" t="str">
        <f aca="false">IF(251&lt;=Cálculo!$B$8,251,"")</f>
        <v/>
      </c>
      <c r="B252" s="11" t="str">
        <f aca="false">IF(A252="","",B251-Cálculo!$B$6/Cálculo!$B$8)</f>
        <v/>
      </c>
      <c r="C252" s="11" t="str">
        <f aca="false">IF(A252="","",Cálculo!$B$6/Cálculo!$B$8+B252*Cálculo!$B$7/100)</f>
        <v/>
      </c>
      <c r="D252" s="11" t="str">
        <f aca="false">IF(A252="","",D251-(Cálculo!$B$10-D251*Cálculo!$B$7/100))</f>
        <v/>
      </c>
      <c r="E252" s="11" t="str">
        <f aca="false">IF(A252="","",Cálculo!$B$10)</f>
        <v/>
      </c>
    </row>
    <row r="253" customFormat="false" ht="15" hidden="false" customHeight="false" outlineLevel="0" collapsed="false">
      <c r="A253" s="0" t="str">
        <f aca="false">IF(252&lt;=Cálculo!$B$8,252,"")</f>
        <v/>
      </c>
      <c r="B253" s="11" t="str">
        <f aca="false">IF(A253="","",B252-Cálculo!$B$6/Cálculo!$B$8)</f>
        <v/>
      </c>
      <c r="C253" s="11" t="str">
        <f aca="false">IF(A253="","",Cálculo!$B$6/Cálculo!$B$8+B253*Cálculo!$B$7/100)</f>
        <v/>
      </c>
      <c r="D253" s="11" t="str">
        <f aca="false">IF(A253="","",D252-(Cálculo!$B$10-D252*Cálculo!$B$7/100))</f>
        <v/>
      </c>
      <c r="E253" s="11" t="str">
        <f aca="false">IF(A253="","",Cálculo!$B$10)</f>
        <v/>
      </c>
    </row>
    <row r="254" customFormat="false" ht="15" hidden="false" customHeight="false" outlineLevel="0" collapsed="false">
      <c r="A254" s="0" t="str">
        <f aca="false">IF(253&lt;=Cálculo!$B$8,253,"")</f>
        <v/>
      </c>
      <c r="B254" s="11" t="str">
        <f aca="false">IF(A254="","",B253-Cálculo!$B$6/Cálculo!$B$8)</f>
        <v/>
      </c>
      <c r="C254" s="11" t="str">
        <f aca="false">IF(A254="","",Cálculo!$B$6/Cálculo!$B$8+B254*Cálculo!$B$7/100)</f>
        <v/>
      </c>
      <c r="D254" s="11" t="str">
        <f aca="false">IF(A254="","",D253-(Cálculo!$B$10-D253*Cálculo!$B$7/100))</f>
        <v/>
      </c>
      <c r="E254" s="11" t="str">
        <f aca="false">IF(A254="","",Cálculo!$B$10)</f>
        <v/>
      </c>
    </row>
    <row r="255" customFormat="false" ht="15" hidden="false" customHeight="false" outlineLevel="0" collapsed="false">
      <c r="A255" s="0" t="str">
        <f aca="false">IF(254&lt;=Cálculo!$B$8,254,"")</f>
        <v/>
      </c>
      <c r="B255" s="11" t="str">
        <f aca="false">IF(A255="","",B254-Cálculo!$B$6/Cálculo!$B$8)</f>
        <v/>
      </c>
      <c r="C255" s="11" t="str">
        <f aca="false">IF(A255="","",Cálculo!$B$6/Cálculo!$B$8+B255*Cálculo!$B$7/100)</f>
        <v/>
      </c>
      <c r="D255" s="11" t="str">
        <f aca="false">IF(A255="","",D254-(Cálculo!$B$10-D254*Cálculo!$B$7/100))</f>
        <v/>
      </c>
      <c r="E255" s="11" t="str">
        <f aca="false">IF(A255="","",Cálculo!$B$10)</f>
        <v/>
      </c>
    </row>
    <row r="256" customFormat="false" ht="15" hidden="false" customHeight="false" outlineLevel="0" collapsed="false">
      <c r="A256" s="0" t="str">
        <f aca="false">IF(255&lt;=Cálculo!$B$8,255,"")</f>
        <v/>
      </c>
      <c r="B256" s="11" t="str">
        <f aca="false">IF(A256="","",B255-Cálculo!$B$6/Cálculo!$B$8)</f>
        <v/>
      </c>
      <c r="C256" s="11" t="str">
        <f aca="false">IF(A256="","",Cálculo!$B$6/Cálculo!$B$8+B256*Cálculo!$B$7/100)</f>
        <v/>
      </c>
      <c r="D256" s="11" t="str">
        <f aca="false">IF(A256="","",D255-(Cálculo!$B$10-D255*Cálculo!$B$7/100))</f>
        <v/>
      </c>
      <c r="E256" s="11" t="str">
        <f aca="false">IF(A256="","",Cálculo!$B$10)</f>
        <v/>
      </c>
    </row>
    <row r="257" customFormat="false" ht="15" hidden="false" customHeight="false" outlineLevel="0" collapsed="false">
      <c r="A257" s="0" t="str">
        <f aca="false">IF(256&lt;=Cálculo!$B$8,256,"")</f>
        <v/>
      </c>
      <c r="B257" s="11" t="str">
        <f aca="false">IF(A257="","",B256-Cálculo!$B$6/Cálculo!$B$8)</f>
        <v/>
      </c>
      <c r="C257" s="11" t="str">
        <f aca="false">IF(A257="","",Cálculo!$B$6/Cálculo!$B$8+B257*Cálculo!$B$7/100)</f>
        <v/>
      </c>
      <c r="D257" s="11" t="str">
        <f aca="false">IF(A257="","",D256-(Cálculo!$B$10-D256*Cálculo!$B$7/100))</f>
        <v/>
      </c>
      <c r="E257" s="11" t="str">
        <f aca="false">IF(A257="","",Cálculo!$B$10)</f>
        <v/>
      </c>
    </row>
    <row r="258" customFormat="false" ht="15" hidden="false" customHeight="false" outlineLevel="0" collapsed="false">
      <c r="A258" s="0" t="str">
        <f aca="false">IF(257&lt;=Cálculo!$B$8,257,"")</f>
        <v/>
      </c>
      <c r="B258" s="11" t="str">
        <f aca="false">IF(A258="","",B257-Cálculo!$B$6/Cálculo!$B$8)</f>
        <v/>
      </c>
      <c r="C258" s="11" t="str">
        <f aca="false">IF(A258="","",Cálculo!$B$6/Cálculo!$B$8+B258*Cálculo!$B$7/100)</f>
        <v/>
      </c>
      <c r="D258" s="11" t="str">
        <f aca="false">IF(A258="","",D257-(Cálculo!$B$10-D257*Cálculo!$B$7/100))</f>
        <v/>
      </c>
      <c r="E258" s="11" t="str">
        <f aca="false">IF(A258="","",Cálculo!$B$10)</f>
        <v/>
      </c>
    </row>
    <row r="259" customFormat="false" ht="15" hidden="false" customHeight="false" outlineLevel="0" collapsed="false">
      <c r="A259" s="0" t="str">
        <f aca="false">IF(258&lt;=Cálculo!$B$8,258,"")</f>
        <v/>
      </c>
      <c r="B259" s="11" t="str">
        <f aca="false">IF(A259="","",B258-Cálculo!$B$6/Cálculo!$B$8)</f>
        <v/>
      </c>
      <c r="C259" s="11" t="str">
        <f aca="false">IF(A259="","",Cálculo!$B$6/Cálculo!$B$8+B259*Cálculo!$B$7/100)</f>
        <v/>
      </c>
      <c r="D259" s="11" t="str">
        <f aca="false">IF(A259="","",D258-(Cálculo!$B$10-D258*Cálculo!$B$7/100))</f>
        <v/>
      </c>
      <c r="E259" s="11" t="str">
        <f aca="false">IF(A259="","",Cálculo!$B$10)</f>
        <v/>
      </c>
    </row>
    <row r="260" customFormat="false" ht="15" hidden="false" customHeight="false" outlineLevel="0" collapsed="false">
      <c r="A260" s="0" t="str">
        <f aca="false">IF(259&lt;=Cálculo!$B$8,259,"")</f>
        <v/>
      </c>
      <c r="B260" s="11" t="str">
        <f aca="false">IF(A260="","",B259-Cálculo!$B$6/Cálculo!$B$8)</f>
        <v/>
      </c>
      <c r="C260" s="11" t="str">
        <f aca="false">IF(A260="","",Cálculo!$B$6/Cálculo!$B$8+B260*Cálculo!$B$7/100)</f>
        <v/>
      </c>
      <c r="D260" s="11" t="str">
        <f aca="false">IF(A260="","",D259-(Cálculo!$B$10-D259*Cálculo!$B$7/100))</f>
        <v/>
      </c>
      <c r="E260" s="11" t="str">
        <f aca="false">IF(A260="","",Cálculo!$B$10)</f>
        <v/>
      </c>
    </row>
    <row r="261" customFormat="false" ht="15" hidden="false" customHeight="false" outlineLevel="0" collapsed="false">
      <c r="A261" s="0" t="str">
        <f aca="false">IF(260&lt;=Cálculo!$B$8,260,"")</f>
        <v/>
      </c>
      <c r="B261" s="11" t="str">
        <f aca="false">IF(A261="","",B260-Cálculo!$B$6/Cálculo!$B$8)</f>
        <v/>
      </c>
      <c r="C261" s="11" t="str">
        <f aca="false">IF(A261="","",Cálculo!$B$6/Cálculo!$B$8+B261*Cálculo!$B$7/100)</f>
        <v/>
      </c>
      <c r="D261" s="11" t="str">
        <f aca="false">IF(A261="","",D260-(Cálculo!$B$10-D260*Cálculo!$B$7/100))</f>
        <v/>
      </c>
      <c r="E261" s="11" t="str">
        <f aca="false">IF(A261="","",Cálculo!$B$10)</f>
        <v/>
      </c>
    </row>
    <row r="262" customFormat="false" ht="15" hidden="false" customHeight="false" outlineLevel="0" collapsed="false">
      <c r="A262" s="0" t="str">
        <f aca="false">IF(261&lt;=Cálculo!$B$8,261,"")</f>
        <v/>
      </c>
      <c r="B262" s="11" t="str">
        <f aca="false">IF(A262="","",B261-Cálculo!$B$6/Cálculo!$B$8)</f>
        <v/>
      </c>
      <c r="C262" s="11" t="str">
        <f aca="false">IF(A262="","",Cálculo!$B$6/Cálculo!$B$8+B262*Cálculo!$B$7/100)</f>
        <v/>
      </c>
      <c r="D262" s="11" t="str">
        <f aca="false">IF(A262="","",D261-(Cálculo!$B$10-D261*Cálculo!$B$7/100))</f>
        <v/>
      </c>
      <c r="E262" s="11" t="str">
        <f aca="false">IF(A262="","",Cálculo!$B$10)</f>
        <v/>
      </c>
    </row>
    <row r="263" customFormat="false" ht="15" hidden="false" customHeight="false" outlineLevel="0" collapsed="false">
      <c r="A263" s="0" t="str">
        <f aca="false">IF(262&lt;=Cálculo!$B$8,262,"")</f>
        <v/>
      </c>
      <c r="B263" s="11" t="str">
        <f aca="false">IF(A263="","",B262-Cálculo!$B$6/Cálculo!$B$8)</f>
        <v/>
      </c>
      <c r="C263" s="11" t="str">
        <f aca="false">IF(A263="","",Cálculo!$B$6/Cálculo!$B$8+B263*Cálculo!$B$7/100)</f>
        <v/>
      </c>
      <c r="D263" s="11" t="str">
        <f aca="false">IF(A263="","",D262-(Cálculo!$B$10-D262*Cálculo!$B$7/100))</f>
        <v/>
      </c>
      <c r="E263" s="11" t="str">
        <f aca="false">IF(A263="","",Cálculo!$B$10)</f>
        <v/>
      </c>
    </row>
    <row r="264" customFormat="false" ht="15" hidden="false" customHeight="false" outlineLevel="0" collapsed="false">
      <c r="A264" s="0" t="str">
        <f aca="false">IF(263&lt;=Cálculo!$B$8,263,"")</f>
        <v/>
      </c>
      <c r="B264" s="11" t="str">
        <f aca="false">IF(A264="","",B263-Cálculo!$B$6/Cálculo!$B$8)</f>
        <v/>
      </c>
      <c r="C264" s="11" t="str">
        <f aca="false">IF(A264="","",Cálculo!$B$6/Cálculo!$B$8+B264*Cálculo!$B$7/100)</f>
        <v/>
      </c>
      <c r="D264" s="11" t="str">
        <f aca="false">IF(A264="","",D263-(Cálculo!$B$10-D263*Cálculo!$B$7/100))</f>
        <v/>
      </c>
      <c r="E264" s="11" t="str">
        <f aca="false">IF(A264="","",Cálculo!$B$10)</f>
        <v/>
      </c>
    </row>
    <row r="265" customFormat="false" ht="15" hidden="false" customHeight="false" outlineLevel="0" collapsed="false">
      <c r="A265" s="0" t="str">
        <f aca="false">IF(264&lt;=Cálculo!$B$8,264,"")</f>
        <v/>
      </c>
      <c r="B265" s="11" t="str">
        <f aca="false">IF(A265="","",B264-Cálculo!$B$6/Cálculo!$B$8)</f>
        <v/>
      </c>
      <c r="C265" s="11" t="str">
        <f aca="false">IF(A265="","",Cálculo!$B$6/Cálculo!$B$8+B265*Cálculo!$B$7/100)</f>
        <v/>
      </c>
      <c r="D265" s="11" t="str">
        <f aca="false">IF(A265="","",D264-(Cálculo!$B$10-D264*Cálculo!$B$7/100))</f>
        <v/>
      </c>
      <c r="E265" s="11" t="str">
        <f aca="false">IF(A265="","",Cálculo!$B$10)</f>
        <v/>
      </c>
    </row>
    <row r="266" customFormat="false" ht="15" hidden="false" customHeight="false" outlineLevel="0" collapsed="false">
      <c r="A266" s="0" t="str">
        <f aca="false">IF(265&lt;=Cálculo!$B$8,265,"")</f>
        <v/>
      </c>
      <c r="B266" s="11" t="str">
        <f aca="false">IF(A266="","",B265-Cálculo!$B$6/Cálculo!$B$8)</f>
        <v/>
      </c>
      <c r="C266" s="11" t="str">
        <f aca="false">IF(A266="","",Cálculo!$B$6/Cálculo!$B$8+B266*Cálculo!$B$7/100)</f>
        <v/>
      </c>
      <c r="D266" s="11" t="str">
        <f aca="false">IF(A266="","",D265-(Cálculo!$B$10-D265*Cálculo!$B$7/100))</f>
        <v/>
      </c>
      <c r="E266" s="11" t="str">
        <f aca="false">IF(A266="","",Cálculo!$B$10)</f>
        <v/>
      </c>
    </row>
    <row r="267" customFormat="false" ht="15" hidden="false" customHeight="false" outlineLevel="0" collapsed="false">
      <c r="A267" s="0" t="str">
        <f aca="false">IF(266&lt;=Cálculo!$B$8,266,"")</f>
        <v/>
      </c>
      <c r="B267" s="11" t="str">
        <f aca="false">IF(A267="","",B266-Cálculo!$B$6/Cálculo!$B$8)</f>
        <v/>
      </c>
      <c r="C267" s="11" t="str">
        <f aca="false">IF(A267="","",Cálculo!$B$6/Cálculo!$B$8+B267*Cálculo!$B$7/100)</f>
        <v/>
      </c>
      <c r="D267" s="11" t="str">
        <f aca="false">IF(A267="","",D266-(Cálculo!$B$10-D266*Cálculo!$B$7/100))</f>
        <v/>
      </c>
      <c r="E267" s="11" t="str">
        <f aca="false">IF(A267="","",Cálculo!$B$10)</f>
        <v/>
      </c>
    </row>
    <row r="268" customFormat="false" ht="15" hidden="false" customHeight="false" outlineLevel="0" collapsed="false">
      <c r="A268" s="0" t="str">
        <f aca="false">IF(267&lt;=Cálculo!$B$8,267,"")</f>
        <v/>
      </c>
      <c r="B268" s="11" t="str">
        <f aca="false">IF(A268="","",B267-Cálculo!$B$6/Cálculo!$B$8)</f>
        <v/>
      </c>
      <c r="C268" s="11" t="str">
        <f aca="false">IF(A268="","",Cálculo!$B$6/Cálculo!$B$8+B268*Cálculo!$B$7/100)</f>
        <v/>
      </c>
      <c r="D268" s="11" t="str">
        <f aca="false">IF(A268="","",D267-(Cálculo!$B$10-D267*Cálculo!$B$7/100))</f>
        <v/>
      </c>
      <c r="E268" s="11" t="str">
        <f aca="false">IF(A268="","",Cálculo!$B$10)</f>
        <v/>
      </c>
    </row>
    <row r="269" customFormat="false" ht="15" hidden="false" customHeight="false" outlineLevel="0" collapsed="false">
      <c r="A269" s="0" t="str">
        <f aca="false">IF(268&lt;=Cálculo!$B$8,268,"")</f>
        <v/>
      </c>
      <c r="B269" s="11" t="str">
        <f aca="false">IF(A269="","",B268-Cálculo!$B$6/Cálculo!$B$8)</f>
        <v/>
      </c>
      <c r="C269" s="11" t="str">
        <f aca="false">IF(A269="","",Cálculo!$B$6/Cálculo!$B$8+B269*Cálculo!$B$7/100)</f>
        <v/>
      </c>
      <c r="D269" s="11" t="str">
        <f aca="false">IF(A269="","",D268-(Cálculo!$B$10-D268*Cálculo!$B$7/100))</f>
        <v/>
      </c>
      <c r="E269" s="11" t="str">
        <f aca="false">IF(A269="","",Cálculo!$B$10)</f>
        <v/>
      </c>
    </row>
    <row r="270" customFormat="false" ht="15" hidden="false" customHeight="false" outlineLevel="0" collapsed="false">
      <c r="A270" s="0" t="str">
        <f aca="false">IF(269&lt;=Cálculo!$B$8,269,"")</f>
        <v/>
      </c>
      <c r="B270" s="11" t="str">
        <f aca="false">IF(A270="","",B269-Cálculo!$B$6/Cálculo!$B$8)</f>
        <v/>
      </c>
      <c r="C270" s="11" t="str">
        <f aca="false">IF(A270="","",Cálculo!$B$6/Cálculo!$B$8+B270*Cálculo!$B$7/100)</f>
        <v/>
      </c>
      <c r="D270" s="11" t="str">
        <f aca="false">IF(A270="","",D269-(Cálculo!$B$10-D269*Cálculo!$B$7/100))</f>
        <v/>
      </c>
      <c r="E270" s="11" t="str">
        <f aca="false">IF(A270="","",Cálculo!$B$10)</f>
        <v/>
      </c>
    </row>
    <row r="271" customFormat="false" ht="15" hidden="false" customHeight="false" outlineLevel="0" collapsed="false">
      <c r="A271" s="0" t="str">
        <f aca="false">IF(270&lt;=Cálculo!$B$8,270,"")</f>
        <v/>
      </c>
      <c r="B271" s="11" t="str">
        <f aca="false">IF(A271="","",B270-Cálculo!$B$6/Cálculo!$B$8)</f>
        <v/>
      </c>
      <c r="C271" s="11" t="str">
        <f aca="false">IF(A271="","",Cálculo!$B$6/Cálculo!$B$8+B271*Cálculo!$B$7/100)</f>
        <v/>
      </c>
      <c r="D271" s="11" t="str">
        <f aca="false">IF(A271="","",D270-(Cálculo!$B$10-D270*Cálculo!$B$7/100))</f>
        <v/>
      </c>
      <c r="E271" s="11" t="str">
        <f aca="false">IF(A271="","",Cálculo!$B$10)</f>
        <v/>
      </c>
    </row>
    <row r="272" customFormat="false" ht="15" hidden="false" customHeight="false" outlineLevel="0" collapsed="false">
      <c r="A272" s="0" t="str">
        <f aca="false">IF(271&lt;=Cálculo!$B$8,271,"")</f>
        <v/>
      </c>
      <c r="B272" s="11" t="str">
        <f aca="false">IF(A272="","",B271-Cálculo!$B$6/Cálculo!$B$8)</f>
        <v/>
      </c>
      <c r="C272" s="11" t="str">
        <f aca="false">IF(A272="","",Cálculo!$B$6/Cálculo!$B$8+B272*Cálculo!$B$7/100)</f>
        <v/>
      </c>
      <c r="D272" s="11" t="str">
        <f aca="false">IF(A272="","",D271-(Cálculo!$B$10-D271*Cálculo!$B$7/100))</f>
        <v/>
      </c>
      <c r="E272" s="11" t="str">
        <f aca="false">IF(A272="","",Cálculo!$B$10)</f>
        <v/>
      </c>
    </row>
    <row r="273" customFormat="false" ht="15" hidden="false" customHeight="false" outlineLevel="0" collapsed="false">
      <c r="A273" s="0" t="str">
        <f aca="false">IF(272&lt;=Cálculo!$B$8,272,"")</f>
        <v/>
      </c>
      <c r="B273" s="11" t="str">
        <f aca="false">IF(A273="","",B272-Cálculo!$B$6/Cálculo!$B$8)</f>
        <v/>
      </c>
      <c r="C273" s="11" t="str">
        <f aca="false">IF(A273="","",Cálculo!$B$6/Cálculo!$B$8+B273*Cálculo!$B$7/100)</f>
        <v/>
      </c>
      <c r="D273" s="11" t="str">
        <f aca="false">IF(A273="","",D272-(Cálculo!$B$10-D272*Cálculo!$B$7/100))</f>
        <v/>
      </c>
      <c r="E273" s="11" t="str">
        <f aca="false">IF(A273="","",Cálculo!$B$10)</f>
        <v/>
      </c>
    </row>
    <row r="274" customFormat="false" ht="15" hidden="false" customHeight="false" outlineLevel="0" collapsed="false">
      <c r="A274" s="0" t="str">
        <f aca="false">IF(273&lt;=Cálculo!$B$8,273,"")</f>
        <v/>
      </c>
      <c r="B274" s="11" t="str">
        <f aca="false">IF(A274="","",B273-Cálculo!$B$6/Cálculo!$B$8)</f>
        <v/>
      </c>
      <c r="C274" s="11" t="str">
        <f aca="false">IF(A274="","",Cálculo!$B$6/Cálculo!$B$8+B274*Cálculo!$B$7/100)</f>
        <v/>
      </c>
      <c r="D274" s="11" t="str">
        <f aca="false">IF(A274="","",D273-(Cálculo!$B$10-D273*Cálculo!$B$7/100))</f>
        <v/>
      </c>
      <c r="E274" s="11" t="str">
        <f aca="false">IF(A274="","",Cálculo!$B$10)</f>
        <v/>
      </c>
    </row>
    <row r="275" customFormat="false" ht="15" hidden="false" customHeight="false" outlineLevel="0" collapsed="false">
      <c r="A275" s="0" t="str">
        <f aca="false">IF(274&lt;=Cálculo!$B$8,274,"")</f>
        <v/>
      </c>
      <c r="B275" s="11" t="str">
        <f aca="false">IF(A275="","",B274-Cálculo!$B$6/Cálculo!$B$8)</f>
        <v/>
      </c>
      <c r="C275" s="11" t="str">
        <f aca="false">IF(A275="","",Cálculo!$B$6/Cálculo!$B$8+B275*Cálculo!$B$7/100)</f>
        <v/>
      </c>
      <c r="D275" s="11" t="str">
        <f aca="false">IF(A275="","",D274-(Cálculo!$B$10-D274*Cálculo!$B$7/100))</f>
        <v/>
      </c>
      <c r="E275" s="11" t="str">
        <f aca="false">IF(A275="","",Cálculo!$B$10)</f>
        <v/>
      </c>
    </row>
    <row r="276" customFormat="false" ht="15" hidden="false" customHeight="false" outlineLevel="0" collapsed="false">
      <c r="A276" s="0" t="str">
        <f aca="false">IF(275&lt;=Cálculo!$B$8,275,"")</f>
        <v/>
      </c>
      <c r="B276" s="11" t="str">
        <f aca="false">IF(A276="","",B275-Cálculo!$B$6/Cálculo!$B$8)</f>
        <v/>
      </c>
      <c r="C276" s="11" t="str">
        <f aca="false">IF(A276="","",Cálculo!$B$6/Cálculo!$B$8+B276*Cálculo!$B$7/100)</f>
        <v/>
      </c>
      <c r="D276" s="11" t="str">
        <f aca="false">IF(A276="","",D275-(Cálculo!$B$10-D275*Cálculo!$B$7/100))</f>
        <v/>
      </c>
      <c r="E276" s="11" t="str">
        <f aca="false">IF(A276="","",Cálculo!$B$10)</f>
        <v/>
      </c>
    </row>
    <row r="277" customFormat="false" ht="15" hidden="false" customHeight="false" outlineLevel="0" collapsed="false">
      <c r="A277" s="0" t="str">
        <f aca="false">IF(276&lt;=Cálculo!$B$8,276,"")</f>
        <v/>
      </c>
      <c r="B277" s="11" t="str">
        <f aca="false">IF(A277="","",B276-Cálculo!$B$6/Cálculo!$B$8)</f>
        <v/>
      </c>
      <c r="C277" s="11" t="str">
        <f aca="false">IF(A277="","",Cálculo!$B$6/Cálculo!$B$8+B277*Cálculo!$B$7/100)</f>
        <v/>
      </c>
      <c r="D277" s="11" t="str">
        <f aca="false">IF(A277="","",D276-(Cálculo!$B$10-D276*Cálculo!$B$7/100))</f>
        <v/>
      </c>
      <c r="E277" s="11" t="str">
        <f aca="false">IF(A277="","",Cálculo!$B$10)</f>
        <v/>
      </c>
    </row>
    <row r="278" customFormat="false" ht="15" hidden="false" customHeight="false" outlineLevel="0" collapsed="false">
      <c r="A278" s="0" t="str">
        <f aca="false">IF(277&lt;=Cálculo!$B$8,277,"")</f>
        <v/>
      </c>
      <c r="B278" s="11" t="str">
        <f aca="false">IF(A278="","",B277-Cálculo!$B$6/Cálculo!$B$8)</f>
        <v/>
      </c>
      <c r="C278" s="11" t="str">
        <f aca="false">IF(A278="","",Cálculo!$B$6/Cálculo!$B$8+B278*Cálculo!$B$7/100)</f>
        <v/>
      </c>
      <c r="D278" s="11" t="str">
        <f aca="false">IF(A278="","",D277-(Cálculo!$B$10-D277*Cálculo!$B$7/100))</f>
        <v/>
      </c>
      <c r="E278" s="11" t="str">
        <f aca="false">IF(A278="","",Cálculo!$B$10)</f>
        <v/>
      </c>
    </row>
    <row r="279" customFormat="false" ht="15" hidden="false" customHeight="false" outlineLevel="0" collapsed="false">
      <c r="A279" s="0" t="str">
        <f aca="false">IF(278&lt;=Cálculo!$B$8,278,"")</f>
        <v/>
      </c>
      <c r="B279" s="11" t="str">
        <f aca="false">IF(A279="","",B278-Cálculo!$B$6/Cálculo!$B$8)</f>
        <v/>
      </c>
      <c r="C279" s="11" t="str">
        <f aca="false">IF(A279="","",Cálculo!$B$6/Cálculo!$B$8+B279*Cálculo!$B$7/100)</f>
        <v/>
      </c>
      <c r="D279" s="11" t="str">
        <f aca="false">IF(A279="","",D278-(Cálculo!$B$10-D278*Cálculo!$B$7/100))</f>
        <v/>
      </c>
      <c r="E279" s="11" t="str">
        <f aca="false">IF(A279="","",Cálculo!$B$10)</f>
        <v/>
      </c>
    </row>
    <row r="280" customFormat="false" ht="15" hidden="false" customHeight="false" outlineLevel="0" collapsed="false">
      <c r="A280" s="0" t="str">
        <f aca="false">IF(279&lt;=Cálculo!$B$8,279,"")</f>
        <v/>
      </c>
      <c r="B280" s="11" t="str">
        <f aca="false">IF(A280="","",B279-Cálculo!$B$6/Cálculo!$B$8)</f>
        <v/>
      </c>
      <c r="C280" s="11" t="str">
        <f aca="false">IF(A280="","",Cálculo!$B$6/Cálculo!$B$8+B280*Cálculo!$B$7/100)</f>
        <v/>
      </c>
      <c r="D280" s="11" t="str">
        <f aca="false">IF(A280="","",D279-(Cálculo!$B$10-D279*Cálculo!$B$7/100))</f>
        <v/>
      </c>
      <c r="E280" s="11" t="str">
        <f aca="false">IF(A280="","",Cálculo!$B$10)</f>
        <v/>
      </c>
    </row>
    <row r="281" customFormat="false" ht="15" hidden="false" customHeight="false" outlineLevel="0" collapsed="false">
      <c r="A281" s="0" t="str">
        <f aca="false">IF(280&lt;=Cálculo!$B$8,280,"")</f>
        <v/>
      </c>
      <c r="B281" s="11" t="str">
        <f aca="false">IF(A281="","",B280-Cálculo!$B$6/Cálculo!$B$8)</f>
        <v/>
      </c>
      <c r="C281" s="11" t="str">
        <f aca="false">IF(A281="","",Cálculo!$B$6/Cálculo!$B$8+B281*Cálculo!$B$7/100)</f>
        <v/>
      </c>
      <c r="D281" s="11" t="str">
        <f aca="false">IF(A281="","",D280-(Cálculo!$B$10-D280*Cálculo!$B$7/100))</f>
        <v/>
      </c>
      <c r="E281" s="11" t="str">
        <f aca="false">IF(A281="","",Cálculo!$B$10)</f>
        <v/>
      </c>
    </row>
    <row r="282" customFormat="false" ht="15" hidden="false" customHeight="false" outlineLevel="0" collapsed="false">
      <c r="A282" s="0" t="str">
        <f aca="false">IF(281&lt;=Cálculo!$B$8,281,"")</f>
        <v/>
      </c>
      <c r="B282" s="11" t="str">
        <f aca="false">IF(A282="","",B281-Cálculo!$B$6/Cálculo!$B$8)</f>
        <v/>
      </c>
      <c r="C282" s="11" t="str">
        <f aca="false">IF(A282="","",Cálculo!$B$6/Cálculo!$B$8+B282*Cálculo!$B$7/100)</f>
        <v/>
      </c>
      <c r="D282" s="11" t="str">
        <f aca="false">IF(A282="","",D281-(Cálculo!$B$10-D281*Cálculo!$B$7/100))</f>
        <v/>
      </c>
      <c r="E282" s="11" t="str">
        <f aca="false">IF(A282="","",Cálculo!$B$10)</f>
        <v/>
      </c>
    </row>
    <row r="283" customFormat="false" ht="15" hidden="false" customHeight="false" outlineLevel="0" collapsed="false">
      <c r="A283" s="0" t="str">
        <f aca="false">IF(282&lt;=Cálculo!$B$8,282,"")</f>
        <v/>
      </c>
      <c r="B283" s="11" t="str">
        <f aca="false">IF(A283="","",B282-Cálculo!$B$6/Cálculo!$B$8)</f>
        <v/>
      </c>
      <c r="C283" s="11" t="str">
        <f aca="false">IF(A283="","",Cálculo!$B$6/Cálculo!$B$8+B283*Cálculo!$B$7/100)</f>
        <v/>
      </c>
      <c r="D283" s="11" t="str">
        <f aca="false">IF(A283="","",D282-(Cálculo!$B$10-D282*Cálculo!$B$7/100))</f>
        <v/>
      </c>
      <c r="E283" s="11" t="str">
        <f aca="false">IF(A283="","",Cálculo!$B$10)</f>
        <v/>
      </c>
    </row>
    <row r="284" customFormat="false" ht="15" hidden="false" customHeight="false" outlineLevel="0" collapsed="false">
      <c r="A284" s="0" t="str">
        <f aca="false">IF(283&lt;=Cálculo!$B$8,283,"")</f>
        <v/>
      </c>
      <c r="B284" s="11" t="str">
        <f aca="false">IF(A284="","",B283-Cálculo!$B$6/Cálculo!$B$8)</f>
        <v/>
      </c>
      <c r="C284" s="11" t="str">
        <f aca="false">IF(A284="","",Cálculo!$B$6/Cálculo!$B$8+B284*Cálculo!$B$7/100)</f>
        <v/>
      </c>
      <c r="D284" s="11" t="str">
        <f aca="false">IF(A284="","",D283-(Cálculo!$B$10-D283*Cálculo!$B$7/100))</f>
        <v/>
      </c>
      <c r="E284" s="11" t="str">
        <f aca="false">IF(A284="","",Cálculo!$B$10)</f>
        <v/>
      </c>
    </row>
    <row r="285" customFormat="false" ht="15" hidden="false" customHeight="false" outlineLevel="0" collapsed="false">
      <c r="A285" s="0" t="str">
        <f aca="false">IF(284&lt;=Cálculo!$B$8,284,"")</f>
        <v/>
      </c>
      <c r="B285" s="11" t="str">
        <f aca="false">IF(A285="","",B284-Cálculo!$B$6/Cálculo!$B$8)</f>
        <v/>
      </c>
      <c r="C285" s="11" t="str">
        <f aca="false">IF(A285="","",Cálculo!$B$6/Cálculo!$B$8+B285*Cálculo!$B$7/100)</f>
        <v/>
      </c>
      <c r="D285" s="11" t="str">
        <f aca="false">IF(A285="","",D284-(Cálculo!$B$10-D284*Cálculo!$B$7/100))</f>
        <v/>
      </c>
      <c r="E285" s="11" t="str">
        <f aca="false">IF(A285="","",Cálculo!$B$10)</f>
        <v/>
      </c>
    </row>
    <row r="286" customFormat="false" ht="15" hidden="false" customHeight="false" outlineLevel="0" collapsed="false">
      <c r="A286" s="0" t="str">
        <f aca="false">IF(285&lt;=Cálculo!$B$8,285,"")</f>
        <v/>
      </c>
      <c r="B286" s="11" t="str">
        <f aca="false">IF(A286="","",B285-Cálculo!$B$6/Cálculo!$B$8)</f>
        <v/>
      </c>
      <c r="C286" s="11" t="str">
        <f aca="false">IF(A286="","",Cálculo!$B$6/Cálculo!$B$8+B286*Cálculo!$B$7/100)</f>
        <v/>
      </c>
      <c r="D286" s="11" t="str">
        <f aca="false">IF(A286="","",D285-(Cálculo!$B$10-D285*Cálculo!$B$7/100))</f>
        <v/>
      </c>
      <c r="E286" s="11" t="str">
        <f aca="false">IF(A286="","",Cálculo!$B$10)</f>
        <v/>
      </c>
    </row>
    <row r="287" customFormat="false" ht="15" hidden="false" customHeight="false" outlineLevel="0" collapsed="false">
      <c r="A287" s="0" t="str">
        <f aca="false">IF(286&lt;=Cálculo!$B$8,286,"")</f>
        <v/>
      </c>
      <c r="B287" s="11" t="str">
        <f aca="false">IF(A287="","",B286-Cálculo!$B$6/Cálculo!$B$8)</f>
        <v/>
      </c>
      <c r="C287" s="11" t="str">
        <f aca="false">IF(A287="","",Cálculo!$B$6/Cálculo!$B$8+B287*Cálculo!$B$7/100)</f>
        <v/>
      </c>
      <c r="D287" s="11" t="str">
        <f aca="false">IF(A287="","",D286-(Cálculo!$B$10-D286*Cálculo!$B$7/100))</f>
        <v/>
      </c>
      <c r="E287" s="11" t="str">
        <f aca="false">IF(A287="","",Cálculo!$B$10)</f>
        <v/>
      </c>
    </row>
    <row r="288" customFormat="false" ht="15" hidden="false" customHeight="false" outlineLevel="0" collapsed="false">
      <c r="A288" s="0" t="str">
        <f aca="false">IF(287&lt;=Cálculo!$B$8,287,"")</f>
        <v/>
      </c>
      <c r="B288" s="11" t="str">
        <f aca="false">IF(A288="","",B287-Cálculo!$B$6/Cálculo!$B$8)</f>
        <v/>
      </c>
      <c r="C288" s="11" t="str">
        <f aca="false">IF(A288="","",Cálculo!$B$6/Cálculo!$B$8+B288*Cálculo!$B$7/100)</f>
        <v/>
      </c>
      <c r="D288" s="11" t="str">
        <f aca="false">IF(A288="","",D287-(Cálculo!$B$10-D287*Cálculo!$B$7/100))</f>
        <v/>
      </c>
      <c r="E288" s="11" t="str">
        <f aca="false">IF(A288="","",Cálculo!$B$10)</f>
        <v/>
      </c>
    </row>
    <row r="289" customFormat="false" ht="15" hidden="false" customHeight="false" outlineLevel="0" collapsed="false">
      <c r="A289" s="0" t="str">
        <f aca="false">IF(288&lt;=Cálculo!$B$8,288,"")</f>
        <v/>
      </c>
      <c r="B289" s="11" t="str">
        <f aca="false">IF(A289="","",B288-Cálculo!$B$6/Cálculo!$B$8)</f>
        <v/>
      </c>
      <c r="C289" s="11" t="str">
        <f aca="false">IF(A289="","",Cálculo!$B$6/Cálculo!$B$8+B289*Cálculo!$B$7/100)</f>
        <v/>
      </c>
      <c r="D289" s="11" t="str">
        <f aca="false">IF(A289="","",D288-(Cálculo!$B$10-D288*Cálculo!$B$7/100))</f>
        <v/>
      </c>
      <c r="E289" s="11" t="str">
        <f aca="false">IF(A289="","",Cálculo!$B$10)</f>
        <v/>
      </c>
    </row>
    <row r="290" customFormat="false" ht="15" hidden="false" customHeight="false" outlineLevel="0" collapsed="false">
      <c r="A290" s="0" t="str">
        <f aca="false">IF(289&lt;=Cálculo!$B$8,289,"")</f>
        <v/>
      </c>
      <c r="B290" s="11" t="str">
        <f aca="false">IF(A290="","",B289-Cálculo!$B$6/Cálculo!$B$8)</f>
        <v/>
      </c>
      <c r="C290" s="11" t="str">
        <f aca="false">IF(A290="","",Cálculo!$B$6/Cálculo!$B$8+B290*Cálculo!$B$7/100)</f>
        <v/>
      </c>
      <c r="D290" s="11" t="str">
        <f aca="false">IF(A290="","",D289-(Cálculo!$B$10-D289*Cálculo!$B$7/100))</f>
        <v/>
      </c>
      <c r="E290" s="11" t="str">
        <f aca="false">IF(A290="","",Cálculo!$B$10)</f>
        <v/>
      </c>
    </row>
    <row r="291" customFormat="false" ht="15" hidden="false" customHeight="false" outlineLevel="0" collapsed="false">
      <c r="A291" s="0" t="str">
        <f aca="false">IF(290&lt;=Cálculo!$B$8,290,"")</f>
        <v/>
      </c>
      <c r="B291" s="11" t="str">
        <f aca="false">IF(A291="","",B290-Cálculo!$B$6/Cálculo!$B$8)</f>
        <v/>
      </c>
      <c r="C291" s="11" t="str">
        <f aca="false">IF(A291="","",Cálculo!$B$6/Cálculo!$B$8+B291*Cálculo!$B$7/100)</f>
        <v/>
      </c>
      <c r="D291" s="11" t="str">
        <f aca="false">IF(A291="","",D290-(Cálculo!$B$10-D290*Cálculo!$B$7/100))</f>
        <v/>
      </c>
      <c r="E291" s="11" t="str">
        <f aca="false">IF(A291="","",Cálculo!$B$10)</f>
        <v/>
      </c>
    </row>
    <row r="292" customFormat="false" ht="15" hidden="false" customHeight="false" outlineLevel="0" collapsed="false">
      <c r="A292" s="0" t="str">
        <f aca="false">IF(291&lt;=Cálculo!$B$8,291,"")</f>
        <v/>
      </c>
      <c r="B292" s="11" t="str">
        <f aca="false">IF(A292="","",B291-Cálculo!$B$6/Cálculo!$B$8)</f>
        <v/>
      </c>
      <c r="C292" s="11" t="str">
        <f aca="false">IF(A292="","",Cálculo!$B$6/Cálculo!$B$8+B292*Cálculo!$B$7/100)</f>
        <v/>
      </c>
      <c r="D292" s="11" t="str">
        <f aca="false">IF(A292="","",D291-(Cálculo!$B$10-D291*Cálculo!$B$7/100))</f>
        <v/>
      </c>
      <c r="E292" s="11" t="str">
        <f aca="false">IF(A292="","",Cálculo!$B$10)</f>
        <v/>
      </c>
    </row>
    <row r="293" customFormat="false" ht="15" hidden="false" customHeight="false" outlineLevel="0" collapsed="false">
      <c r="A293" s="0" t="str">
        <f aca="false">IF(292&lt;=Cálculo!$B$8,292,"")</f>
        <v/>
      </c>
      <c r="B293" s="11" t="str">
        <f aca="false">IF(A293="","",B292-Cálculo!$B$6/Cálculo!$B$8)</f>
        <v/>
      </c>
      <c r="C293" s="11" t="str">
        <f aca="false">IF(A293="","",Cálculo!$B$6/Cálculo!$B$8+B293*Cálculo!$B$7/100)</f>
        <v/>
      </c>
      <c r="D293" s="11" t="str">
        <f aca="false">IF(A293="","",D292-(Cálculo!$B$10-D292*Cálculo!$B$7/100))</f>
        <v/>
      </c>
      <c r="E293" s="11" t="str">
        <f aca="false">IF(A293="","",Cálculo!$B$10)</f>
        <v/>
      </c>
    </row>
    <row r="294" customFormat="false" ht="15" hidden="false" customHeight="false" outlineLevel="0" collapsed="false">
      <c r="A294" s="0" t="str">
        <f aca="false">IF(293&lt;=Cálculo!$B$8,293,"")</f>
        <v/>
      </c>
      <c r="B294" s="11" t="str">
        <f aca="false">IF(A294="","",B293-Cálculo!$B$6/Cálculo!$B$8)</f>
        <v/>
      </c>
      <c r="C294" s="11" t="str">
        <f aca="false">IF(A294="","",Cálculo!$B$6/Cálculo!$B$8+B294*Cálculo!$B$7/100)</f>
        <v/>
      </c>
      <c r="D294" s="11" t="str">
        <f aca="false">IF(A294="","",D293-(Cálculo!$B$10-D293*Cálculo!$B$7/100))</f>
        <v/>
      </c>
      <c r="E294" s="11" t="str">
        <f aca="false">IF(A294="","",Cálculo!$B$10)</f>
        <v/>
      </c>
    </row>
    <row r="295" customFormat="false" ht="15" hidden="false" customHeight="false" outlineLevel="0" collapsed="false">
      <c r="A295" s="0" t="str">
        <f aca="false">IF(294&lt;=Cálculo!$B$8,294,"")</f>
        <v/>
      </c>
      <c r="B295" s="11" t="str">
        <f aca="false">IF(A295="","",B294-Cálculo!$B$6/Cálculo!$B$8)</f>
        <v/>
      </c>
      <c r="C295" s="11" t="str">
        <f aca="false">IF(A295="","",Cálculo!$B$6/Cálculo!$B$8+B295*Cálculo!$B$7/100)</f>
        <v/>
      </c>
      <c r="D295" s="11" t="str">
        <f aca="false">IF(A295="","",D294-(Cálculo!$B$10-D294*Cálculo!$B$7/100))</f>
        <v/>
      </c>
      <c r="E295" s="11" t="str">
        <f aca="false">IF(A295="","",Cálculo!$B$10)</f>
        <v/>
      </c>
    </row>
    <row r="296" customFormat="false" ht="15" hidden="false" customHeight="false" outlineLevel="0" collapsed="false">
      <c r="A296" s="0" t="str">
        <f aca="false">IF(295&lt;=Cálculo!$B$8,295,"")</f>
        <v/>
      </c>
      <c r="B296" s="11" t="str">
        <f aca="false">IF(A296="","",B295-Cálculo!$B$6/Cálculo!$B$8)</f>
        <v/>
      </c>
      <c r="C296" s="11" t="str">
        <f aca="false">IF(A296="","",Cálculo!$B$6/Cálculo!$B$8+B296*Cálculo!$B$7/100)</f>
        <v/>
      </c>
      <c r="D296" s="11" t="str">
        <f aca="false">IF(A296="","",D295-(Cálculo!$B$10-D295*Cálculo!$B$7/100))</f>
        <v/>
      </c>
      <c r="E296" s="11" t="str">
        <f aca="false">IF(A296="","",Cálculo!$B$10)</f>
        <v/>
      </c>
    </row>
    <row r="297" customFormat="false" ht="15" hidden="false" customHeight="false" outlineLevel="0" collapsed="false">
      <c r="A297" s="0" t="str">
        <f aca="false">IF(296&lt;=Cálculo!$B$8,296,"")</f>
        <v/>
      </c>
      <c r="B297" s="11" t="str">
        <f aca="false">IF(A297="","",B296-Cálculo!$B$6/Cálculo!$B$8)</f>
        <v/>
      </c>
      <c r="C297" s="11" t="str">
        <f aca="false">IF(A297="","",Cálculo!$B$6/Cálculo!$B$8+B297*Cálculo!$B$7/100)</f>
        <v/>
      </c>
      <c r="D297" s="11" t="str">
        <f aca="false">IF(A297="","",D296-(Cálculo!$B$10-D296*Cálculo!$B$7/100))</f>
        <v/>
      </c>
      <c r="E297" s="11" t="str">
        <f aca="false">IF(A297="","",Cálculo!$B$10)</f>
        <v/>
      </c>
    </row>
    <row r="298" customFormat="false" ht="15" hidden="false" customHeight="false" outlineLevel="0" collapsed="false">
      <c r="A298" s="0" t="str">
        <f aca="false">IF(297&lt;=Cálculo!$B$8,297,"")</f>
        <v/>
      </c>
      <c r="B298" s="11" t="str">
        <f aca="false">IF(A298="","",B297-Cálculo!$B$6/Cálculo!$B$8)</f>
        <v/>
      </c>
      <c r="C298" s="11" t="str">
        <f aca="false">IF(A298="","",Cálculo!$B$6/Cálculo!$B$8+B298*Cálculo!$B$7/100)</f>
        <v/>
      </c>
      <c r="D298" s="11" t="str">
        <f aca="false">IF(A298="","",D297-(Cálculo!$B$10-D297*Cálculo!$B$7/100))</f>
        <v/>
      </c>
      <c r="E298" s="11" t="str">
        <f aca="false">IF(A298="","",Cálculo!$B$10)</f>
        <v/>
      </c>
    </row>
    <row r="299" customFormat="false" ht="15" hidden="false" customHeight="false" outlineLevel="0" collapsed="false">
      <c r="A299" s="0" t="str">
        <f aca="false">IF(298&lt;=Cálculo!$B$8,298,"")</f>
        <v/>
      </c>
      <c r="B299" s="11" t="str">
        <f aca="false">IF(A299="","",B298-Cálculo!$B$6/Cálculo!$B$8)</f>
        <v/>
      </c>
      <c r="C299" s="11" t="str">
        <f aca="false">IF(A299="","",Cálculo!$B$6/Cálculo!$B$8+B299*Cálculo!$B$7/100)</f>
        <v/>
      </c>
      <c r="D299" s="11" t="str">
        <f aca="false">IF(A299="","",D298-(Cálculo!$B$10-D298*Cálculo!$B$7/100))</f>
        <v/>
      </c>
      <c r="E299" s="11" t="str">
        <f aca="false">IF(A299="","",Cálculo!$B$10)</f>
        <v/>
      </c>
    </row>
    <row r="300" customFormat="false" ht="15" hidden="false" customHeight="false" outlineLevel="0" collapsed="false">
      <c r="A300" s="0" t="str">
        <f aca="false">IF(299&lt;=Cálculo!$B$8,299,"")</f>
        <v/>
      </c>
      <c r="B300" s="11" t="str">
        <f aca="false">IF(A300="","",B299-Cálculo!$B$6/Cálculo!$B$8)</f>
        <v/>
      </c>
      <c r="C300" s="11" t="str">
        <f aca="false">IF(A300="","",Cálculo!$B$6/Cálculo!$B$8+B300*Cálculo!$B$7/100)</f>
        <v/>
      </c>
      <c r="D300" s="11" t="str">
        <f aca="false">IF(A300="","",D299-(Cálculo!$B$10-D299*Cálculo!$B$7/100))</f>
        <v/>
      </c>
      <c r="E300" s="11" t="str">
        <f aca="false">IF(A300="","",Cálculo!$B$10)</f>
        <v/>
      </c>
    </row>
    <row r="301" customFormat="false" ht="15" hidden="false" customHeight="false" outlineLevel="0" collapsed="false">
      <c r="A301" s="0" t="str">
        <f aca="false">IF(300&lt;=Cálculo!$B$8,300,"")</f>
        <v/>
      </c>
      <c r="B301" s="11" t="str">
        <f aca="false">IF(A301="","",B300-Cálculo!$B$6/Cálculo!$B$8)</f>
        <v/>
      </c>
      <c r="C301" s="11" t="str">
        <f aca="false">IF(A301="","",Cálculo!$B$6/Cálculo!$B$8+B301*Cálculo!$B$7/100)</f>
        <v/>
      </c>
      <c r="D301" s="11" t="str">
        <f aca="false">IF(A301="","",D300-(Cálculo!$B$10-D300*Cálculo!$B$7/100))</f>
        <v/>
      </c>
      <c r="E301" s="11" t="str">
        <f aca="false">IF(A301="","",Cálculo!$B$10)</f>
        <v/>
      </c>
    </row>
    <row r="302" customFormat="false" ht="15" hidden="false" customHeight="false" outlineLevel="0" collapsed="false">
      <c r="A302" s="0" t="str">
        <f aca="false">IF(301&lt;=Cálculo!$B$8,301,"")</f>
        <v/>
      </c>
      <c r="B302" s="11" t="str">
        <f aca="false">IF(A302="","",B301-Cálculo!$B$6/Cálculo!$B$8)</f>
        <v/>
      </c>
      <c r="C302" s="11" t="str">
        <f aca="false">IF(A302="","",Cálculo!$B$6/Cálculo!$B$8+B302*Cálculo!$B$7/100)</f>
        <v/>
      </c>
      <c r="D302" s="11" t="str">
        <f aca="false">IF(A302="","",D301-(Cálculo!$B$10-D301*Cálculo!$B$7/100))</f>
        <v/>
      </c>
      <c r="E302" s="11" t="str">
        <f aca="false">IF(A302="","",Cálculo!$B$10)</f>
        <v/>
      </c>
    </row>
    <row r="303" customFormat="false" ht="15" hidden="false" customHeight="false" outlineLevel="0" collapsed="false">
      <c r="A303" s="0" t="str">
        <f aca="false">IF(302&lt;=Cálculo!$B$8,302,"")</f>
        <v/>
      </c>
      <c r="B303" s="11" t="str">
        <f aca="false">IF(A303="","",B302-Cálculo!$B$6/Cálculo!$B$8)</f>
        <v/>
      </c>
      <c r="C303" s="11" t="str">
        <f aca="false">IF(A303="","",Cálculo!$B$6/Cálculo!$B$8+B303*Cálculo!$B$7/100)</f>
        <v/>
      </c>
      <c r="D303" s="11" t="str">
        <f aca="false">IF(A303="","",D302-(Cálculo!$B$10-D302*Cálculo!$B$7/100))</f>
        <v/>
      </c>
      <c r="E303" s="11" t="str">
        <f aca="false">IF(A303="","",Cálculo!$B$10)</f>
        <v/>
      </c>
    </row>
    <row r="304" customFormat="false" ht="15" hidden="false" customHeight="false" outlineLevel="0" collapsed="false">
      <c r="A304" s="0" t="str">
        <f aca="false">IF(303&lt;=Cálculo!$B$8,303,"")</f>
        <v/>
      </c>
      <c r="B304" s="11" t="str">
        <f aca="false">IF(A304="","",B303-Cálculo!$B$6/Cálculo!$B$8)</f>
        <v/>
      </c>
      <c r="C304" s="11" t="str">
        <f aca="false">IF(A304="","",Cálculo!$B$6/Cálculo!$B$8+B304*Cálculo!$B$7/100)</f>
        <v/>
      </c>
      <c r="D304" s="11" t="str">
        <f aca="false">IF(A304="","",D303-(Cálculo!$B$10-D303*Cálculo!$B$7/100))</f>
        <v/>
      </c>
      <c r="E304" s="11" t="str">
        <f aca="false">IF(A304="","",Cálculo!$B$10)</f>
        <v/>
      </c>
    </row>
    <row r="305" customFormat="false" ht="15" hidden="false" customHeight="false" outlineLevel="0" collapsed="false">
      <c r="A305" s="0" t="str">
        <f aca="false">IF(304&lt;=Cálculo!$B$8,304,"")</f>
        <v/>
      </c>
      <c r="B305" s="11" t="str">
        <f aca="false">IF(A305="","",B304-Cálculo!$B$6/Cálculo!$B$8)</f>
        <v/>
      </c>
      <c r="C305" s="11" t="str">
        <f aca="false">IF(A305="","",Cálculo!$B$6/Cálculo!$B$8+B305*Cálculo!$B$7/100)</f>
        <v/>
      </c>
      <c r="D305" s="11" t="str">
        <f aca="false">IF(A305="","",D304-(Cálculo!$B$10-D304*Cálculo!$B$7/100))</f>
        <v/>
      </c>
      <c r="E305" s="11" t="str">
        <f aca="false">IF(A305="","",Cálculo!$B$10)</f>
        <v/>
      </c>
    </row>
    <row r="306" customFormat="false" ht="15" hidden="false" customHeight="false" outlineLevel="0" collapsed="false">
      <c r="A306" s="0" t="str">
        <f aca="false">IF(305&lt;=Cálculo!$B$8,305,"")</f>
        <v/>
      </c>
      <c r="B306" s="11" t="str">
        <f aca="false">IF(A306="","",B305-Cálculo!$B$6/Cálculo!$B$8)</f>
        <v/>
      </c>
      <c r="C306" s="11" t="str">
        <f aca="false">IF(A306="","",Cálculo!$B$6/Cálculo!$B$8+B306*Cálculo!$B$7/100)</f>
        <v/>
      </c>
      <c r="D306" s="11" t="str">
        <f aca="false">IF(A306="","",D305-(Cálculo!$B$10-D305*Cálculo!$B$7/100))</f>
        <v/>
      </c>
      <c r="E306" s="11" t="str">
        <f aca="false">IF(A306="","",Cálculo!$B$10)</f>
        <v/>
      </c>
    </row>
    <row r="307" customFormat="false" ht="15" hidden="false" customHeight="false" outlineLevel="0" collapsed="false">
      <c r="A307" s="0" t="str">
        <f aca="false">IF(306&lt;=Cálculo!$B$8,306,"")</f>
        <v/>
      </c>
      <c r="B307" s="11" t="str">
        <f aca="false">IF(A307="","",B306-Cálculo!$B$6/Cálculo!$B$8)</f>
        <v/>
      </c>
      <c r="C307" s="11" t="str">
        <f aca="false">IF(A307="","",Cálculo!$B$6/Cálculo!$B$8+B307*Cálculo!$B$7/100)</f>
        <v/>
      </c>
      <c r="D307" s="11" t="str">
        <f aca="false">IF(A307="","",D306-(Cálculo!$B$10-D306*Cálculo!$B$7/100))</f>
        <v/>
      </c>
      <c r="E307" s="11" t="str">
        <f aca="false">IF(A307="","",Cálculo!$B$10)</f>
        <v/>
      </c>
    </row>
    <row r="308" customFormat="false" ht="15" hidden="false" customHeight="false" outlineLevel="0" collapsed="false">
      <c r="A308" s="0" t="str">
        <f aca="false">IF(307&lt;=Cálculo!$B$8,307,"")</f>
        <v/>
      </c>
      <c r="B308" s="11" t="str">
        <f aca="false">IF(A308="","",B307-Cálculo!$B$6/Cálculo!$B$8)</f>
        <v/>
      </c>
      <c r="C308" s="11" t="str">
        <f aca="false">IF(A308="","",Cálculo!$B$6/Cálculo!$B$8+B308*Cálculo!$B$7/100)</f>
        <v/>
      </c>
      <c r="D308" s="11" t="str">
        <f aca="false">IF(A308="","",D307-(Cálculo!$B$10-D307*Cálculo!$B$7/100))</f>
        <v/>
      </c>
      <c r="E308" s="11" t="str">
        <f aca="false">IF(A308="","",Cálculo!$B$10)</f>
        <v/>
      </c>
    </row>
    <row r="309" customFormat="false" ht="15" hidden="false" customHeight="false" outlineLevel="0" collapsed="false">
      <c r="A309" s="0" t="str">
        <f aca="false">IF(308&lt;=Cálculo!$B$8,308,"")</f>
        <v/>
      </c>
      <c r="B309" s="11" t="str">
        <f aca="false">IF(A309="","",B308-Cálculo!$B$6/Cálculo!$B$8)</f>
        <v/>
      </c>
      <c r="C309" s="11" t="str">
        <f aca="false">IF(A309="","",Cálculo!$B$6/Cálculo!$B$8+B309*Cálculo!$B$7/100)</f>
        <v/>
      </c>
      <c r="D309" s="11" t="str">
        <f aca="false">IF(A309="","",D308-(Cálculo!$B$10-D308*Cálculo!$B$7/100))</f>
        <v/>
      </c>
      <c r="E309" s="11" t="str">
        <f aca="false">IF(A309="","",Cálculo!$B$10)</f>
        <v/>
      </c>
    </row>
    <row r="310" customFormat="false" ht="15" hidden="false" customHeight="false" outlineLevel="0" collapsed="false">
      <c r="A310" s="0" t="str">
        <f aca="false">IF(309&lt;=Cálculo!$B$8,309,"")</f>
        <v/>
      </c>
      <c r="B310" s="11" t="str">
        <f aca="false">IF(A310="","",B309-Cálculo!$B$6/Cálculo!$B$8)</f>
        <v/>
      </c>
      <c r="C310" s="11" t="str">
        <f aca="false">IF(A310="","",Cálculo!$B$6/Cálculo!$B$8+B310*Cálculo!$B$7/100)</f>
        <v/>
      </c>
      <c r="D310" s="11" t="str">
        <f aca="false">IF(A310="","",D309-(Cálculo!$B$10-D309*Cálculo!$B$7/100))</f>
        <v/>
      </c>
      <c r="E310" s="11" t="str">
        <f aca="false">IF(A310="","",Cálculo!$B$10)</f>
        <v/>
      </c>
    </row>
    <row r="311" customFormat="false" ht="15" hidden="false" customHeight="false" outlineLevel="0" collapsed="false">
      <c r="A311" s="0" t="str">
        <f aca="false">IF(310&lt;=Cálculo!$B$8,310,"")</f>
        <v/>
      </c>
      <c r="B311" s="11" t="str">
        <f aca="false">IF(A311="","",B310-Cálculo!$B$6/Cálculo!$B$8)</f>
        <v/>
      </c>
      <c r="C311" s="11" t="str">
        <f aca="false">IF(A311="","",Cálculo!$B$6/Cálculo!$B$8+B311*Cálculo!$B$7/100)</f>
        <v/>
      </c>
      <c r="D311" s="11" t="str">
        <f aca="false">IF(A311="","",D310-(Cálculo!$B$10-D310*Cálculo!$B$7/100))</f>
        <v/>
      </c>
      <c r="E311" s="11" t="str">
        <f aca="false">IF(A311="","",Cálculo!$B$10)</f>
        <v/>
      </c>
    </row>
    <row r="312" customFormat="false" ht="15" hidden="false" customHeight="false" outlineLevel="0" collapsed="false">
      <c r="A312" s="0" t="str">
        <f aca="false">IF(311&lt;=Cálculo!$B$8,311,"")</f>
        <v/>
      </c>
      <c r="B312" s="11" t="str">
        <f aca="false">IF(A312="","",B311-Cálculo!$B$6/Cálculo!$B$8)</f>
        <v/>
      </c>
      <c r="C312" s="11" t="str">
        <f aca="false">IF(A312="","",Cálculo!$B$6/Cálculo!$B$8+B312*Cálculo!$B$7/100)</f>
        <v/>
      </c>
      <c r="D312" s="11" t="str">
        <f aca="false">IF(A312="","",D311-(Cálculo!$B$10-D311*Cálculo!$B$7/100))</f>
        <v/>
      </c>
      <c r="E312" s="11" t="str">
        <f aca="false">IF(A312="","",Cálculo!$B$10)</f>
        <v/>
      </c>
    </row>
    <row r="313" customFormat="false" ht="15" hidden="false" customHeight="false" outlineLevel="0" collapsed="false">
      <c r="A313" s="0" t="str">
        <f aca="false">IF(312&lt;=Cálculo!$B$8,312,"")</f>
        <v/>
      </c>
      <c r="B313" s="11" t="str">
        <f aca="false">IF(A313="","",B312-Cálculo!$B$6/Cálculo!$B$8)</f>
        <v/>
      </c>
      <c r="C313" s="11" t="str">
        <f aca="false">IF(A313="","",Cálculo!$B$6/Cálculo!$B$8+B313*Cálculo!$B$7/100)</f>
        <v/>
      </c>
      <c r="D313" s="11" t="str">
        <f aca="false">IF(A313="","",D312-(Cálculo!$B$10-D312*Cálculo!$B$7/100))</f>
        <v/>
      </c>
      <c r="E313" s="11" t="str">
        <f aca="false">IF(A313="","",Cálculo!$B$10)</f>
        <v/>
      </c>
    </row>
    <row r="314" customFormat="false" ht="15" hidden="false" customHeight="false" outlineLevel="0" collapsed="false">
      <c r="A314" s="0" t="str">
        <f aca="false">IF(313&lt;=Cálculo!$B$8,313,"")</f>
        <v/>
      </c>
      <c r="B314" s="11" t="str">
        <f aca="false">IF(A314="","",B313-Cálculo!$B$6/Cálculo!$B$8)</f>
        <v/>
      </c>
      <c r="C314" s="11" t="str">
        <f aca="false">IF(A314="","",Cálculo!$B$6/Cálculo!$B$8+B314*Cálculo!$B$7/100)</f>
        <v/>
      </c>
      <c r="D314" s="11" t="str">
        <f aca="false">IF(A314="","",D313-(Cálculo!$B$10-D313*Cálculo!$B$7/100))</f>
        <v/>
      </c>
      <c r="E314" s="11" t="str">
        <f aca="false">IF(A314="","",Cálculo!$B$10)</f>
        <v/>
      </c>
    </row>
    <row r="315" customFormat="false" ht="15" hidden="false" customHeight="false" outlineLevel="0" collapsed="false">
      <c r="A315" s="0" t="str">
        <f aca="false">IF(314&lt;=Cálculo!$B$8,314,"")</f>
        <v/>
      </c>
      <c r="B315" s="11" t="str">
        <f aca="false">IF(A315="","",B314-Cálculo!$B$6/Cálculo!$B$8)</f>
        <v/>
      </c>
      <c r="C315" s="11" t="str">
        <f aca="false">IF(A315="","",Cálculo!$B$6/Cálculo!$B$8+B315*Cálculo!$B$7/100)</f>
        <v/>
      </c>
      <c r="D315" s="11" t="str">
        <f aca="false">IF(A315="","",D314-(Cálculo!$B$10-D314*Cálculo!$B$7/100))</f>
        <v/>
      </c>
      <c r="E315" s="11" t="str">
        <f aca="false">IF(A315="","",Cálculo!$B$10)</f>
        <v/>
      </c>
    </row>
    <row r="316" customFormat="false" ht="15" hidden="false" customHeight="false" outlineLevel="0" collapsed="false">
      <c r="A316" s="0" t="str">
        <f aca="false">IF(315&lt;=Cálculo!$B$8,315,"")</f>
        <v/>
      </c>
      <c r="B316" s="11" t="str">
        <f aca="false">IF(A316="","",B315-Cálculo!$B$6/Cálculo!$B$8)</f>
        <v/>
      </c>
      <c r="C316" s="11" t="str">
        <f aca="false">IF(A316="","",Cálculo!$B$6/Cálculo!$B$8+B316*Cálculo!$B$7/100)</f>
        <v/>
      </c>
      <c r="D316" s="11" t="str">
        <f aca="false">IF(A316="","",D315-(Cálculo!$B$10-D315*Cálculo!$B$7/100))</f>
        <v/>
      </c>
      <c r="E316" s="11" t="str">
        <f aca="false">IF(A316="","",Cálculo!$B$10)</f>
        <v/>
      </c>
    </row>
    <row r="317" customFormat="false" ht="15" hidden="false" customHeight="false" outlineLevel="0" collapsed="false">
      <c r="A317" s="0" t="str">
        <f aca="false">IF(316&lt;=Cálculo!$B$8,316,"")</f>
        <v/>
      </c>
      <c r="B317" s="11" t="str">
        <f aca="false">IF(A317="","",B316-Cálculo!$B$6/Cálculo!$B$8)</f>
        <v/>
      </c>
      <c r="C317" s="11" t="str">
        <f aca="false">IF(A317="","",Cálculo!$B$6/Cálculo!$B$8+B317*Cálculo!$B$7/100)</f>
        <v/>
      </c>
      <c r="D317" s="11" t="str">
        <f aca="false">IF(A317="","",D316-(Cálculo!$B$10-D316*Cálculo!$B$7/100))</f>
        <v/>
      </c>
      <c r="E317" s="11" t="str">
        <f aca="false">IF(A317="","",Cálculo!$B$10)</f>
        <v/>
      </c>
    </row>
    <row r="318" customFormat="false" ht="15" hidden="false" customHeight="false" outlineLevel="0" collapsed="false">
      <c r="A318" s="0" t="str">
        <f aca="false">IF(317&lt;=Cálculo!$B$8,317,"")</f>
        <v/>
      </c>
      <c r="B318" s="11" t="str">
        <f aca="false">IF(A318="","",B317-Cálculo!$B$6/Cálculo!$B$8)</f>
        <v/>
      </c>
      <c r="C318" s="11" t="str">
        <f aca="false">IF(A318="","",Cálculo!$B$6/Cálculo!$B$8+B318*Cálculo!$B$7/100)</f>
        <v/>
      </c>
      <c r="D318" s="11" t="str">
        <f aca="false">IF(A318="","",D317-(Cálculo!$B$10-D317*Cálculo!$B$7/100))</f>
        <v/>
      </c>
      <c r="E318" s="11" t="str">
        <f aca="false">IF(A318="","",Cálculo!$B$10)</f>
        <v/>
      </c>
    </row>
    <row r="319" customFormat="false" ht="15" hidden="false" customHeight="false" outlineLevel="0" collapsed="false">
      <c r="A319" s="0" t="str">
        <f aca="false">IF(318&lt;=Cálculo!$B$8,318,"")</f>
        <v/>
      </c>
      <c r="B319" s="11" t="str">
        <f aca="false">IF(A319="","",B318-Cálculo!$B$6/Cálculo!$B$8)</f>
        <v/>
      </c>
      <c r="C319" s="11" t="str">
        <f aca="false">IF(A319="","",Cálculo!$B$6/Cálculo!$B$8+B319*Cálculo!$B$7/100)</f>
        <v/>
      </c>
      <c r="D319" s="11" t="str">
        <f aca="false">IF(A319="","",D318-(Cálculo!$B$10-D318*Cálculo!$B$7/100))</f>
        <v/>
      </c>
      <c r="E319" s="11" t="str">
        <f aca="false">IF(A319="","",Cálculo!$B$10)</f>
        <v/>
      </c>
    </row>
    <row r="320" customFormat="false" ht="15" hidden="false" customHeight="false" outlineLevel="0" collapsed="false">
      <c r="A320" s="0" t="str">
        <f aca="false">IF(319&lt;=Cálculo!$B$8,319,"")</f>
        <v/>
      </c>
      <c r="B320" s="11" t="str">
        <f aca="false">IF(A320="","",B319-Cálculo!$B$6/Cálculo!$B$8)</f>
        <v/>
      </c>
      <c r="C320" s="11" t="str">
        <f aca="false">IF(A320="","",Cálculo!$B$6/Cálculo!$B$8+B320*Cálculo!$B$7/100)</f>
        <v/>
      </c>
      <c r="D320" s="11" t="str">
        <f aca="false">IF(A320="","",D319-(Cálculo!$B$10-D319*Cálculo!$B$7/100))</f>
        <v/>
      </c>
      <c r="E320" s="11" t="str">
        <f aca="false">IF(A320="","",Cálculo!$B$10)</f>
        <v/>
      </c>
    </row>
    <row r="321" customFormat="false" ht="15" hidden="false" customHeight="false" outlineLevel="0" collapsed="false">
      <c r="A321" s="0" t="str">
        <f aca="false">IF(320&lt;=Cálculo!$B$8,320,"")</f>
        <v/>
      </c>
      <c r="B321" s="11" t="str">
        <f aca="false">IF(A321="","",B320-Cálculo!$B$6/Cálculo!$B$8)</f>
        <v/>
      </c>
      <c r="C321" s="11" t="str">
        <f aca="false">IF(A321="","",Cálculo!$B$6/Cálculo!$B$8+B321*Cálculo!$B$7/100)</f>
        <v/>
      </c>
      <c r="D321" s="11" t="str">
        <f aca="false">IF(A321="","",D320-(Cálculo!$B$10-D320*Cálculo!$B$7/100))</f>
        <v/>
      </c>
      <c r="E321" s="11" t="str">
        <f aca="false">IF(A321="","",Cálculo!$B$10)</f>
        <v/>
      </c>
    </row>
    <row r="322" customFormat="false" ht="15" hidden="false" customHeight="false" outlineLevel="0" collapsed="false">
      <c r="A322" s="0" t="str">
        <f aca="false">IF(321&lt;=Cálculo!$B$8,321,"")</f>
        <v/>
      </c>
      <c r="B322" s="11" t="str">
        <f aca="false">IF(A322="","",B321-Cálculo!$B$6/Cálculo!$B$8)</f>
        <v/>
      </c>
      <c r="C322" s="11" t="str">
        <f aca="false">IF(A322="","",Cálculo!$B$6/Cálculo!$B$8+B322*Cálculo!$B$7/100)</f>
        <v/>
      </c>
      <c r="D322" s="11" t="str">
        <f aca="false">IF(A322="","",D321-(Cálculo!$B$10-D321*Cálculo!$B$7/100))</f>
        <v/>
      </c>
      <c r="E322" s="11" t="str">
        <f aca="false">IF(A322="","",Cálculo!$B$10)</f>
        <v/>
      </c>
    </row>
    <row r="323" customFormat="false" ht="15" hidden="false" customHeight="false" outlineLevel="0" collapsed="false">
      <c r="A323" s="0" t="str">
        <f aca="false">IF(322&lt;=Cálculo!$B$8,322,"")</f>
        <v/>
      </c>
      <c r="B323" s="11" t="str">
        <f aca="false">IF(A323="","",B322-Cálculo!$B$6/Cálculo!$B$8)</f>
        <v/>
      </c>
      <c r="C323" s="11" t="str">
        <f aca="false">IF(A323="","",Cálculo!$B$6/Cálculo!$B$8+B323*Cálculo!$B$7/100)</f>
        <v/>
      </c>
      <c r="D323" s="11" t="str">
        <f aca="false">IF(A323="","",D322-(Cálculo!$B$10-D322*Cálculo!$B$7/100))</f>
        <v/>
      </c>
      <c r="E323" s="11" t="str">
        <f aca="false">IF(A323="","",Cálculo!$B$10)</f>
        <v/>
      </c>
    </row>
    <row r="324" customFormat="false" ht="15" hidden="false" customHeight="false" outlineLevel="0" collapsed="false">
      <c r="A324" s="0" t="str">
        <f aca="false">IF(323&lt;=Cálculo!$B$8,323,"")</f>
        <v/>
      </c>
      <c r="B324" s="11" t="str">
        <f aca="false">IF(A324="","",B323-Cálculo!$B$6/Cálculo!$B$8)</f>
        <v/>
      </c>
      <c r="C324" s="11" t="str">
        <f aca="false">IF(A324="","",Cálculo!$B$6/Cálculo!$B$8+B324*Cálculo!$B$7/100)</f>
        <v/>
      </c>
      <c r="D324" s="11" t="str">
        <f aca="false">IF(A324="","",D323-(Cálculo!$B$10-D323*Cálculo!$B$7/100))</f>
        <v/>
      </c>
      <c r="E324" s="11" t="str">
        <f aca="false">IF(A324="","",Cálculo!$B$10)</f>
        <v/>
      </c>
    </row>
    <row r="325" customFormat="false" ht="15" hidden="false" customHeight="false" outlineLevel="0" collapsed="false">
      <c r="A325" s="0" t="str">
        <f aca="false">IF(324&lt;=Cálculo!$B$8,324,"")</f>
        <v/>
      </c>
      <c r="B325" s="11" t="str">
        <f aca="false">IF(A325="","",B324-Cálculo!$B$6/Cálculo!$B$8)</f>
        <v/>
      </c>
      <c r="C325" s="11" t="str">
        <f aca="false">IF(A325="","",Cálculo!$B$6/Cálculo!$B$8+B325*Cálculo!$B$7/100)</f>
        <v/>
      </c>
      <c r="D325" s="11" t="str">
        <f aca="false">IF(A325="","",D324-(Cálculo!$B$10-D324*Cálculo!$B$7/100))</f>
        <v/>
      </c>
      <c r="E325" s="11" t="str">
        <f aca="false">IF(A325="","",Cálculo!$B$10)</f>
        <v/>
      </c>
    </row>
    <row r="326" customFormat="false" ht="15" hidden="false" customHeight="false" outlineLevel="0" collapsed="false">
      <c r="A326" s="0" t="str">
        <f aca="false">IF(325&lt;=Cálculo!$B$8,325,"")</f>
        <v/>
      </c>
      <c r="B326" s="11" t="str">
        <f aca="false">IF(A326="","",B325-Cálculo!$B$6/Cálculo!$B$8)</f>
        <v/>
      </c>
      <c r="C326" s="11" t="str">
        <f aca="false">IF(A326="","",Cálculo!$B$6/Cálculo!$B$8+B326*Cálculo!$B$7/100)</f>
        <v/>
      </c>
      <c r="D326" s="11" t="str">
        <f aca="false">IF(A326="","",D325-(Cálculo!$B$10-D325*Cálculo!$B$7/100))</f>
        <v/>
      </c>
      <c r="E326" s="11" t="str">
        <f aca="false">IF(A326="","",Cálculo!$B$10)</f>
        <v/>
      </c>
    </row>
    <row r="327" customFormat="false" ht="15" hidden="false" customHeight="false" outlineLevel="0" collapsed="false">
      <c r="A327" s="0" t="str">
        <f aca="false">IF(326&lt;=Cálculo!$B$8,326,"")</f>
        <v/>
      </c>
      <c r="B327" s="11" t="str">
        <f aca="false">IF(A327="","",B326-Cálculo!$B$6/Cálculo!$B$8)</f>
        <v/>
      </c>
      <c r="C327" s="11" t="str">
        <f aca="false">IF(A327="","",Cálculo!$B$6/Cálculo!$B$8+B327*Cálculo!$B$7/100)</f>
        <v/>
      </c>
      <c r="D327" s="11" t="str">
        <f aca="false">IF(A327="","",D326-(Cálculo!$B$10-D326*Cálculo!$B$7/100))</f>
        <v/>
      </c>
      <c r="E327" s="11" t="str">
        <f aca="false">IF(A327="","",Cálculo!$B$10)</f>
        <v/>
      </c>
    </row>
    <row r="328" customFormat="false" ht="15" hidden="false" customHeight="false" outlineLevel="0" collapsed="false">
      <c r="A328" s="0" t="str">
        <f aca="false">IF(327&lt;=Cálculo!$B$8,327,"")</f>
        <v/>
      </c>
      <c r="B328" s="11" t="str">
        <f aca="false">IF(A328="","",B327-Cálculo!$B$6/Cálculo!$B$8)</f>
        <v/>
      </c>
      <c r="C328" s="11" t="str">
        <f aca="false">IF(A328="","",Cálculo!$B$6/Cálculo!$B$8+B328*Cálculo!$B$7/100)</f>
        <v/>
      </c>
      <c r="D328" s="11" t="str">
        <f aca="false">IF(A328="","",D327-(Cálculo!$B$10-D327*Cálculo!$B$7/100))</f>
        <v/>
      </c>
      <c r="E328" s="11" t="str">
        <f aca="false">IF(A328="","",Cálculo!$B$10)</f>
        <v/>
      </c>
    </row>
    <row r="329" customFormat="false" ht="15" hidden="false" customHeight="false" outlineLevel="0" collapsed="false">
      <c r="A329" s="0" t="str">
        <f aca="false">IF(328&lt;=Cálculo!$B$8,328,"")</f>
        <v/>
      </c>
      <c r="B329" s="11" t="str">
        <f aca="false">IF(A329="","",B328-Cálculo!$B$6/Cálculo!$B$8)</f>
        <v/>
      </c>
      <c r="C329" s="11" t="str">
        <f aca="false">IF(A329="","",Cálculo!$B$6/Cálculo!$B$8+B329*Cálculo!$B$7/100)</f>
        <v/>
      </c>
      <c r="D329" s="11" t="str">
        <f aca="false">IF(A329="","",D328-(Cálculo!$B$10-D328*Cálculo!$B$7/100))</f>
        <v/>
      </c>
      <c r="E329" s="11" t="str">
        <f aca="false">IF(A329="","",Cálculo!$B$10)</f>
        <v/>
      </c>
    </row>
    <row r="330" customFormat="false" ht="15" hidden="false" customHeight="false" outlineLevel="0" collapsed="false">
      <c r="A330" s="0" t="str">
        <f aca="false">IF(329&lt;=Cálculo!$B$8,329,"")</f>
        <v/>
      </c>
      <c r="B330" s="11" t="str">
        <f aca="false">IF(A330="","",B329-Cálculo!$B$6/Cálculo!$B$8)</f>
        <v/>
      </c>
      <c r="C330" s="11" t="str">
        <f aca="false">IF(A330="","",Cálculo!$B$6/Cálculo!$B$8+B330*Cálculo!$B$7/100)</f>
        <v/>
      </c>
      <c r="D330" s="11" t="str">
        <f aca="false">IF(A330="","",D329-(Cálculo!$B$10-D329*Cálculo!$B$7/100))</f>
        <v/>
      </c>
      <c r="E330" s="11" t="str">
        <f aca="false">IF(A330="","",Cálculo!$B$10)</f>
        <v/>
      </c>
    </row>
    <row r="331" customFormat="false" ht="15" hidden="false" customHeight="false" outlineLevel="0" collapsed="false">
      <c r="A331" s="0" t="str">
        <f aca="false">IF(330&lt;=Cálculo!$B$8,330,"")</f>
        <v/>
      </c>
      <c r="B331" s="11" t="str">
        <f aca="false">IF(A331="","",B330-Cálculo!$B$6/Cálculo!$B$8)</f>
        <v/>
      </c>
      <c r="C331" s="11" t="str">
        <f aca="false">IF(A331="","",Cálculo!$B$6/Cálculo!$B$8+B331*Cálculo!$B$7/100)</f>
        <v/>
      </c>
      <c r="D331" s="11" t="str">
        <f aca="false">IF(A331="","",D330-(Cálculo!$B$10-D330*Cálculo!$B$7/100))</f>
        <v/>
      </c>
      <c r="E331" s="11" t="str">
        <f aca="false">IF(A331="","",Cálculo!$B$10)</f>
        <v/>
      </c>
    </row>
    <row r="332" customFormat="false" ht="15" hidden="false" customHeight="false" outlineLevel="0" collapsed="false">
      <c r="A332" s="0" t="str">
        <f aca="false">IF(331&lt;=Cálculo!$B$8,331,"")</f>
        <v/>
      </c>
      <c r="B332" s="11" t="str">
        <f aca="false">IF(A332="","",B331-Cálculo!$B$6/Cálculo!$B$8)</f>
        <v/>
      </c>
      <c r="C332" s="11" t="str">
        <f aca="false">IF(A332="","",Cálculo!$B$6/Cálculo!$B$8+B332*Cálculo!$B$7/100)</f>
        <v/>
      </c>
      <c r="D332" s="11" t="str">
        <f aca="false">IF(A332="","",D331-(Cálculo!$B$10-D331*Cálculo!$B$7/100))</f>
        <v/>
      </c>
      <c r="E332" s="11" t="str">
        <f aca="false">IF(A332="","",Cálculo!$B$10)</f>
        <v/>
      </c>
    </row>
    <row r="333" customFormat="false" ht="15" hidden="false" customHeight="false" outlineLevel="0" collapsed="false">
      <c r="A333" s="0" t="str">
        <f aca="false">IF(332&lt;=Cálculo!$B$8,332,"")</f>
        <v/>
      </c>
      <c r="B333" s="11" t="str">
        <f aca="false">IF(A333="","",B332-Cálculo!$B$6/Cálculo!$B$8)</f>
        <v/>
      </c>
      <c r="C333" s="11" t="str">
        <f aca="false">IF(A333="","",Cálculo!$B$6/Cálculo!$B$8+B333*Cálculo!$B$7/100)</f>
        <v/>
      </c>
      <c r="D333" s="11" t="str">
        <f aca="false">IF(A333="","",D332-(Cálculo!$B$10-D332*Cálculo!$B$7/100))</f>
        <v/>
      </c>
      <c r="E333" s="11" t="str">
        <f aca="false">IF(A333="","",Cálculo!$B$10)</f>
        <v/>
      </c>
    </row>
    <row r="334" customFormat="false" ht="15" hidden="false" customHeight="false" outlineLevel="0" collapsed="false">
      <c r="A334" s="0" t="str">
        <f aca="false">IF(333&lt;=Cálculo!$B$8,333,"")</f>
        <v/>
      </c>
      <c r="B334" s="11" t="str">
        <f aca="false">IF(A334="","",B333-Cálculo!$B$6/Cálculo!$B$8)</f>
        <v/>
      </c>
      <c r="C334" s="11" t="str">
        <f aca="false">IF(A334="","",Cálculo!$B$6/Cálculo!$B$8+B334*Cálculo!$B$7/100)</f>
        <v/>
      </c>
      <c r="D334" s="11" t="str">
        <f aca="false">IF(A334="","",D333-(Cálculo!$B$10-D333*Cálculo!$B$7/100))</f>
        <v/>
      </c>
      <c r="E334" s="11" t="str">
        <f aca="false">IF(A334="","",Cálculo!$B$10)</f>
        <v/>
      </c>
    </row>
    <row r="335" customFormat="false" ht="15" hidden="false" customHeight="false" outlineLevel="0" collapsed="false">
      <c r="A335" s="0" t="str">
        <f aca="false">IF(334&lt;=Cálculo!$B$8,334,"")</f>
        <v/>
      </c>
      <c r="B335" s="11" t="str">
        <f aca="false">IF(A335="","",B334-Cálculo!$B$6/Cálculo!$B$8)</f>
        <v/>
      </c>
      <c r="C335" s="11" t="str">
        <f aca="false">IF(A335="","",Cálculo!$B$6/Cálculo!$B$8+B335*Cálculo!$B$7/100)</f>
        <v/>
      </c>
      <c r="D335" s="11" t="str">
        <f aca="false">IF(A335="","",D334-(Cálculo!$B$10-D334*Cálculo!$B$7/100))</f>
        <v/>
      </c>
      <c r="E335" s="11" t="str">
        <f aca="false">IF(A335="","",Cálculo!$B$10)</f>
        <v/>
      </c>
    </row>
    <row r="336" customFormat="false" ht="15" hidden="false" customHeight="false" outlineLevel="0" collapsed="false">
      <c r="A336" s="0" t="str">
        <f aca="false">IF(335&lt;=Cálculo!$B$8,335,"")</f>
        <v/>
      </c>
      <c r="B336" s="11" t="str">
        <f aca="false">IF(A336="","",B335-Cálculo!$B$6/Cálculo!$B$8)</f>
        <v/>
      </c>
      <c r="C336" s="11" t="str">
        <f aca="false">IF(A336="","",Cálculo!$B$6/Cálculo!$B$8+B336*Cálculo!$B$7/100)</f>
        <v/>
      </c>
      <c r="D336" s="11" t="str">
        <f aca="false">IF(A336="","",D335-(Cálculo!$B$10-D335*Cálculo!$B$7/100))</f>
        <v/>
      </c>
      <c r="E336" s="11" t="str">
        <f aca="false">IF(A336="","",Cálculo!$B$10)</f>
        <v/>
      </c>
    </row>
    <row r="337" customFormat="false" ht="15" hidden="false" customHeight="false" outlineLevel="0" collapsed="false">
      <c r="A337" s="0" t="str">
        <f aca="false">IF(336&lt;=Cálculo!$B$8,336,"")</f>
        <v/>
      </c>
      <c r="B337" s="11" t="str">
        <f aca="false">IF(A337="","",B336-Cálculo!$B$6/Cálculo!$B$8)</f>
        <v/>
      </c>
      <c r="C337" s="11" t="str">
        <f aca="false">IF(A337="","",Cálculo!$B$6/Cálculo!$B$8+B337*Cálculo!$B$7/100)</f>
        <v/>
      </c>
      <c r="D337" s="11" t="str">
        <f aca="false">IF(A337="","",D336-(Cálculo!$B$10-D336*Cálculo!$B$7/100))</f>
        <v/>
      </c>
      <c r="E337" s="11" t="str">
        <f aca="false">IF(A337="","",Cálculo!$B$10)</f>
        <v/>
      </c>
    </row>
    <row r="338" customFormat="false" ht="15" hidden="false" customHeight="false" outlineLevel="0" collapsed="false">
      <c r="A338" s="0" t="str">
        <f aca="false">IF(337&lt;=Cálculo!$B$8,337,"")</f>
        <v/>
      </c>
      <c r="B338" s="11" t="str">
        <f aca="false">IF(A338="","",B337-Cálculo!$B$6/Cálculo!$B$8)</f>
        <v/>
      </c>
      <c r="C338" s="11" t="str">
        <f aca="false">IF(A338="","",Cálculo!$B$6/Cálculo!$B$8+B338*Cálculo!$B$7/100)</f>
        <v/>
      </c>
      <c r="D338" s="11" t="str">
        <f aca="false">IF(A338="","",D337-(Cálculo!$B$10-D337*Cálculo!$B$7/100))</f>
        <v/>
      </c>
      <c r="E338" s="11" t="str">
        <f aca="false">IF(A338="","",Cálculo!$B$10)</f>
        <v/>
      </c>
    </row>
    <row r="339" customFormat="false" ht="15" hidden="false" customHeight="false" outlineLevel="0" collapsed="false">
      <c r="A339" s="0" t="str">
        <f aca="false">IF(338&lt;=Cálculo!$B$8,338,"")</f>
        <v/>
      </c>
      <c r="B339" s="11" t="str">
        <f aca="false">IF(A339="","",B338-Cálculo!$B$6/Cálculo!$B$8)</f>
        <v/>
      </c>
      <c r="C339" s="11" t="str">
        <f aca="false">IF(A339="","",Cálculo!$B$6/Cálculo!$B$8+B339*Cálculo!$B$7/100)</f>
        <v/>
      </c>
      <c r="D339" s="11" t="str">
        <f aca="false">IF(A339="","",D338-(Cálculo!$B$10-D338*Cálculo!$B$7/100))</f>
        <v/>
      </c>
      <c r="E339" s="11" t="str">
        <f aca="false">IF(A339="","",Cálculo!$B$10)</f>
        <v/>
      </c>
    </row>
    <row r="340" customFormat="false" ht="15" hidden="false" customHeight="false" outlineLevel="0" collapsed="false">
      <c r="A340" s="0" t="str">
        <f aca="false">IF(339&lt;=Cálculo!$B$8,339,"")</f>
        <v/>
      </c>
      <c r="B340" s="11" t="str">
        <f aca="false">IF(A340="","",B339-Cálculo!$B$6/Cálculo!$B$8)</f>
        <v/>
      </c>
      <c r="C340" s="11" t="str">
        <f aca="false">IF(A340="","",Cálculo!$B$6/Cálculo!$B$8+B340*Cálculo!$B$7/100)</f>
        <v/>
      </c>
      <c r="D340" s="11" t="str">
        <f aca="false">IF(A340="","",D339-(Cálculo!$B$10-D339*Cálculo!$B$7/100))</f>
        <v/>
      </c>
      <c r="E340" s="11" t="str">
        <f aca="false">IF(A340="","",Cálculo!$B$10)</f>
        <v/>
      </c>
    </row>
    <row r="341" customFormat="false" ht="15" hidden="false" customHeight="false" outlineLevel="0" collapsed="false">
      <c r="A341" s="0" t="str">
        <f aca="false">IF(340&lt;=Cálculo!$B$8,340,"")</f>
        <v/>
      </c>
      <c r="B341" s="11" t="str">
        <f aca="false">IF(A341="","",B340-Cálculo!$B$6/Cálculo!$B$8)</f>
        <v/>
      </c>
      <c r="C341" s="11" t="str">
        <f aca="false">IF(A341="","",Cálculo!$B$6/Cálculo!$B$8+B341*Cálculo!$B$7/100)</f>
        <v/>
      </c>
      <c r="D341" s="11" t="str">
        <f aca="false">IF(A341="","",D340-(Cálculo!$B$10-D340*Cálculo!$B$7/100))</f>
        <v/>
      </c>
      <c r="E341" s="11" t="str">
        <f aca="false">IF(A341="","",Cálculo!$B$10)</f>
        <v/>
      </c>
    </row>
    <row r="342" customFormat="false" ht="15" hidden="false" customHeight="false" outlineLevel="0" collapsed="false">
      <c r="A342" s="0" t="str">
        <f aca="false">IF(341&lt;=Cálculo!$B$8,341,"")</f>
        <v/>
      </c>
      <c r="B342" s="11" t="str">
        <f aca="false">IF(A342="","",B341-Cálculo!$B$6/Cálculo!$B$8)</f>
        <v/>
      </c>
      <c r="C342" s="11" t="str">
        <f aca="false">IF(A342="","",Cálculo!$B$6/Cálculo!$B$8+B342*Cálculo!$B$7/100)</f>
        <v/>
      </c>
      <c r="D342" s="11" t="str">
        <f aca="false">IF(A342="","",D341-(Cálculo!$B$10-D341*Cálculo!$B$7/100))</f>
        <v/>
      </c>
      <c r="E342" s="11" t="str">
        <f aca="false">IF(A342="","",Cálculo!$B$10)</f>
        <v/>
      </c>
    </row>
    <row r="343" customFormat="false" ht="15" hidden="false" customHeight="false" outlineLevel="0" collapsed="false">
      <c r="A343" s="0" t="str">
        <f aca="false">IF(342&lt;=Cálculo!$B$8,342,"")</f>
        <v/>
      </c>
      <c r="B343" s="11" t="str">
        <f aca="false">IF(A343="","",B342-Cálculo!$B$6/Cálculo!$B$8)</f>
        <v/>
      </c>
      <c r="C343" s="11" t="str">
        <f aca="false">IF(A343="","",Cálculo!$B$6/Cálculo!$B$8+B343*Cálculo!$B$7/100)</f>
        <v/>
      </c>
      <c r="D343" s="11" t="str">
        <f aca="false">IF(A343="","",D342-(Cálculo!$B$10-D342*Cálculo!$B$7/100))</f>
        <v/>
      </c>
      <c r="E343" s="11" t="str">
        <f aca="false">IF(A343="","",Cálculo!$B$10)</f>
        <v/>
      </c>
    </row>
    <row r="344" customFormat="false" ht="15" hidden="false" customHeight="false" outlineLevel="0" collapsed="false">
      <c r="A344" s="0" t="str">
        <f aca="false">IF(343&lt;=Cálculo!$B$8,343,"")</f>
        <v/>
      </c>
      <c r="B344" s="11" t="str">
        <f aca="false">IF(A344="","",B343-Cálculo!$B$6/Cálculo!$B$8)</f>
        <v/>
      </c>
      <c r="C344" s="11" t="str">
        <f aca="false">IF(A344="","",Cálculo!$B$6/Cálculo!$B$8+B344*Cálculo!$B$7/100)</f>
        <v/>
      </c>
      <c r="D344" s="11" t="str">
        <f aca="false">IF(A344="","",D343-(Cálculo!$B$10-D343*Cálculo!$B$7/100))</f>
        <v/>
      </c>
      <c r="E344" s="11" t="str">
        <f aca="false">IF(A344="","",Cálculo!$B$10)</f>
        <v/>
      </c>
    </row>
    <row r="345" customFormat="false" ht="15" hidden="false" customHeight="false" outlineLevel="0" collapsed="false">
      <c r="A345" s="0" t="str">
        <f aca="false">IF(344&lt;=Cálculo!$B$8,344,"")</f>
        <v/>
      </c>
      <c r="B345" s="11" t="str">
        <f aca="false">IF(A345="","",B344-Cálculo!$B$6/Cálculo!$B$8)</f>
        <v/>
      </c>
      <c r="C345" s="11" t="str">
        <f aca="false">IF(A345="","",Cálculo!$B$6/Cálculo!$B$8+B345*Cálculo!$B$7/100)</f>
        <v/>
      </c>
      <c r="D345" s="11" t="str">
        <f aca="false">IF(A345="","",D344-(Cálculo!$B$10-D344*Cálculo!$B$7/100))</f>
        <v/>
      </c>
      <c r="E345" s="11" t="str">
        <f aca="false">IF(A345="","",Cálculo!$B$10)</f>
        <v/>
      </c>
    </row>
    <row r="346" customFormat="false" ht="15" hidden="false" customHeight="false" outlineLevel="0" collapsed="false">
      <c r="A346" s="0" t="str">
        <f aca="false">IF(345&lt;=Cálculo!$B$8,345,"")</f>
        <v/>
      </c>
      <c r="B346" s="11" t="str">
        <f aca="false">IF(A346="","",B345-Cálculo!$B$6/Cálculo!$B$8)</f>
        <v/>
      </c>
      <c r="C346" s="11" t="str">
        <f aca="false">IF(A346="","",Cálculo!$B$6/Cálculo!$B$8+B346*Cálculo!$B$7/100)</f>
        <v/>
      </c>
      <c r="D346" s="11" t="str">
        <f aca="false">IF(A346="","",D345-(Cálculo!$B$10-D345*Cálculo!$B$7/100))</f>
        <v/>
      </c>
      <c r="E346" s="11" t="str">
        <f aca="false">IF(A346="","",Cálculo!$B$10)</f>
        <v/>
      </c>
    </row>
    <row r="347" customFormat="false" ht="15" hidden="false" customHeight="false" outlineLevel="0" collapsed="false">
      <c r="A347" s="0" t="str">
        <f aca="false">IF(346&lt;=Cálculo!$B$8,346,"")</f>
        <v/>
      </c>
      <c r="B347" s="11" t="str">
        <f aca="false">IF(A347="","",B346-Cálculo!$B$6/Cálculo!$B$8)</f>
        <v/>
      </c>
      <c r="C347" s="11" t="str">
        <f aca="false">IF(A347="","",Cálculo!$B$6/Cálculo!$B$8+B347*Cálculo!$B$7/100)</f>
        <v/>
      </c>
      <c r="D347" s="11" t="str">
        <f aca="false">IF(A347="","",D346-(Cálculo!$B$10-D346*Cálculo!$B$7/100))</f>
        <v/>
      </c>
      <c r="E347" s="11" t="str">
        <f aca="false">IF(A347="","",Cálculo!$B$10)</f>
        <v/>
      </c>
    </row>
    <row r="348" customFormat="false" ht="15" hidden="false" customHeight="false" outlineLevel="0" collapsed="false">
      <c r="A348" s="0" t="str">
        <f aca="false">IF(347&lt;=Cálculo!$B$8,347,"")</f>
        <v/>
      </c>
      <c r="B348" s="11" t="str">
        <f aca="false">IF(A348="","",B347-Cálculo!$B$6/Cálculo!$B$8)</f>
        <v/>
      </c>
      <c r="C348" s="11" t="str">
        <f aca="false">IF(A348="","",Cálculo!$B$6/Cálculo!$B$8+B348*Cálculo!$B$7/100)</f>
        <v/>
      </c>
      <c r="D348" s="11" t="str">
        <f aca="false">IF(A348="","",D347-(Cálculo!$B$10-D347*Cálculo!$B$7/100))</f>
        <v/>
      </c>
      <c r="E348" s="11" t="str">
        <f aca="false">IF(A348="","",Cálculo!$B$10)</f>
        <v/>
      </c>
    </row>
    <row r="349" customFormat="false" ht="15" hidden="false" customHeight="false" outlineLevel="0" collapsed="false">
      <c r="A349" s="0" t="str">
        <f aca="false">IF(348&lt;=Cálculo!$B$8,348,"")</f>
        <v/>
      </c>
      <c r="B349" s="11" t="str">
        <f aca="false">IF(A349="","",B348-Cálculo!$B$6/Cálculo!$B$8)</f>
        <v/>
      </c>
      <c r="C349" s="11" t="str">
        <f aca="false">IF(A349="","",Cálculo!$B$6/Cálculo!$B$8+B349*Cálculo!$B$7/100)</f>
        <v/>
      </c>
      <c r="D349" s="11" t="str">
        <f aca="false">IF(A349="","",D348-(Cálculo!$B$10-D348*Cálculo!$B$7/100))</f>
        <v/>
      </c>
      <c r="E349" s="11" t="str">
        <f aca="false">IF(A349="","",Cálculo!$B$10)</f>
        <v/>
      </c>
    </row>
    <row r="350" customFormat="false" ht="15" hidden="false" customHeight="false" outlineLevel="0" collapsed="false">
      <c r="A350" s="0" t="str">
        <f aca="false">IF(349&lt;=Cálculo!$B$8,349,"")</f>
        <v/>
      </c>
      <c r="B350" s="11" t="str">
        <f aca="false">IF(A350="","",B349-Cálculo!$B$6/Cálculo!$B$8)</f>
        <v/>
      </c>
      <c r="C350" s="11" t="str">
        <f aca="false">IF(A350="","",Cálculo!$B$6/Cálculo!$B$8+B350*Cálculo!$B$7/100)</f>
        <v/>
      </c>
      <c r="D350" s="11" t="str">
        <f aca="false">IF(A350="","",D349-(Cálculo!$B$10-D349*Cálculo!$B$7/100))</f>
        <v/>
      </c>
      <c r="E350" s="11" t="str">
        <f aca="false">IF(A350="","",Cálculo!$B$10)</f>
        <v/>
      </c>
    </row>
    <row r="351" customFormat="false" ht="15" hidden="false" customHeight="false" outlineLevel="0" collapsed="false">
      <c r="A351" s="0" t="str">
        <f aca="false">IF(350&lt;=Cálculo!$B$8,350,"")</f>
        <v/>
      </c>
      <c r="B351" s="11" t="str">
        <f aca="false">IF(A351="","",B350-Cálculo!$B$6/Cálculo!$B$8)</f>
        <v/>
      </c>
      <c r="C351" s="11" t="str">
        <f aca="false">IF(A351="","",Cálculo!$B$6/Cálculo!$B$8+B351*Cálculo!$B$7/100)</f>
        <v/>
      </c>
      <c r="D351" s="11" t="str">
        <f aca="false">IF(A351="","",D350-(Cálculo!$B$10-D350*Cálculo!$B$7/100))</f>
        <v/>
      </c>
      <c r="E351" s="11" t="str">
        <f aca="false">IF(A351="","",Cálculo!$B$10)</f>
        <v/>
      </c>
    </row>
    <row r="352" customFormat="false" ht="15" hidden="false" customHeight="false" outlineLevel="0" collapsed="false">
      <c r="A352" s="0" t="str">
        <f aca="false">IF(351&lt;=Cálculo!$B$8,351,"")</f>
        <v/>
      </c>
      <c r="B352" s="11" t="str">
        <f aca="false">IF(A352="","",B351-Cálculo!$B$6/Cálculo!$B$8)</f>
        <v/>
      </c>
      <c r="C352" s="11" t="str">
        <f aca="false">IF(A352="","",Cálculo!$B$6/Cálculo!$B$8+B352*Cálculo!$B$7/100)</f>
        <v/>
      </c>
      <c r="D352" s="11" t="str">
        <f aca="false">IF(A352="","",D351-(Cálculo!$B$10-D351*Cálculo!$B$7/100))</f>
        <v/>
      </c>
      <c r="E352" s="11" t="str">
        <f aca="false">IF(A352="","",Cálculo!$B$10)</f>
        <v/>
      </c>
    </row>
    <row r="353" customFormat="false" ht="15" hidden="false" customHeight="false" outlineLevel="0" collapsed="false">
      <c r="A353" s="0" t="str">
        <f aca="false">IF(352&lt;=Cálculo!$B$8,352,"")</f>
        <v/>
      </c>
      <c r="B353" s="11" t="str">
        <f aca="false">IF(A353="","",B352-Cálculo!$B$6/Cálculo!$B$8)</f>
        <v/>
      </c>
      <c r="C353" s="11" t="str">
        <f aca="false">IF(A353="","",Cálculo!$B$6/Cálculo!$B$8+B353*Cálculo!$B$7/100)</f>
        <v/>
      </c>
      <c r="D353" s="11" t="str">
        <f aca="false">IF(A353="","",D352-(Cálculo!$B$10-D352*Cálculo!$B$7/100))</f>
        <v/>
      </c>
      <c r="E353" s="11" t="str">
        <f aca="false">IF(A353="","",Cálculo!$B$10)</f>
        <v/>
      </c>
    </row>
    <row r="354" customFormat="false" ht="15" hidden="false" customHeight="false" outlineLevel="0" collapsed="false">
      <c r="A354" s="0" t="str">
        <f aca="false">IF(353&lt;=Cálculo!$B$8,353,"")</f>
        <v/>
      </c>
      <c r="B354" s="11" t="str">
        <f aca="false">IF(A354="","",B353-Cálculo!$B$6/Cálculo!$B$8)</f>
        <v/>
      </c>
      <c r="C354" s="11" t="str">
        <f aca="false">IF(A354="","",Cálculo!$B$6/Cálculo!$B$8+B354*Cálculo!$B$7/100)</f>
        <v/>
      </c>
      <c r="D354" s="11" t="str">
        <f aca="false">IF(A354="","",D353-(Cálculo!$B$10-D353*Cálculo!$B$7/100))</f>
        <v/>
      </c>
      <c r="E354" s="11" t="str">
        <f aca="false">IF(A354="","",Cálculo!$B$10)</f>
        <v/>
      </c>
    </row>
    <row r="355" customFormat="false" ht="15" hidden="false" customHeight="false" outlineLevel="0" collapsed="false">
      <c r="A355" s="0" t="str">
        <f aca="false">IF(354&lt;=Cálculo!$B$8,354,"")</f>
        <v/>
      </c>
      <c r="B355" s="11" t="str">
        <f aca="false">IF(A355="","",B354-Cálculo!$B$6/Cálculo!$B$8)</f>
        <v/>
      </c>
      <c r="C355" s="11" t="str">
        <f aca="false">IF(A355="","",Cálculo!$B$6/Cálculo!$B$8+B355*Cálculo!$B$7/100)</f>
        <v/>
      </c>
      <c r="D355" s="11" t="str">
        <f aca="false">IF(A355="","",D354-(Cálculo!$B$10-D354*Cálculo!$B$7/100))</f>
        <v/>
      </c>
      <c r="E355" s="11" t="str">
        <f aca="false">IF(A355="","",Cálculo!$B$10)</f>
        <v/>
      </c>
    </row>
    <row r="356" customFormat="false" ht="15" hidden="false" customHeight="false" outlineLevel="0" collapsed="false">
      <c r="A356" s="0" t="str">
        <f aca="false">IF(355&lt;=Cálculo!$B$8,355,"")</f>
        <v/>
      </c>
      <c r="B356" s="11" t="str">
        <f aca="false">IF(A356="","",B355-Cálculo!$B$6/Cálculo!$B$8)</f>
        <v/>
      </c>
      <c r="C356" s="11" t="str">
        <f aca="false">IF(A356="","",Cálculo!$B$6/Cálculo!$B$8+B356*Cálculo!$B$7/100)</f>
        <v/>
      </c>
      <c r="D356" s="11" t="str">
        <f aca="false">IF(A356="","",D355-(Cálculo!$B$10-D355*Cálculo!$B$7/100))</f>
        <v/>
      </c>
      <c r="E356" s="11" t="str">
        <f aca="false">IF(A356="","",Cálculo!$B$10)</f>
        <v/>
      </c>
    </row>
    <row r="357" customFormat="false" ht="15" hidden="false" customHeight="false" outlineLevel="0" collapsed="false">
      <c r="A357" s="0" t="str">
        <f aca="false">IF(356&lt;=Cálculo!$B$8,356,"")</f>
        <v/>
      </c>
      <c r="B357" s="11" t="str">
        <f aca="false">IF(A357="","",B356-Cálculo!$B$6/Cálculo!$B$8)</f>
        <v/>
      </c>
      <c r="C357" s="11" t="str">
        <f aca="false">IF(A357="","",Cálculo!$B$6/Cálculo!$B$8+B357*Cálculo!$B$7/100)</f>
        <v/>
      </c>
      <c r="D357" s="11" t="str">
        <f aca="false">IF(A357="","",D356-(Cálculo!$B$10-D356*Cálculo!$B$7/100))</f>
        <v/>
      </c>
      <c r="E357" s="11" t="str">
        <f aca="false">IF(A357="","",Cálculo!$B$10)</f>
        <v/>
      </c>
    </row>
    <row r="358" customFormat="false" ht="15" hidden="false" customHeight="false" outlineLevel="0" collapsed="false">
      <c r="A358" s="0" t="str">
        <f aca="false">IF(357&lt;=Cálculo!$B$8,357,"")</f>
        <v/>
      </c>
      <c r="B358" s="11" t="str">
        <f aca="false">IF(A358="","",B357-Cálculo!$B$6/Cálculo!$B$8)</f>
        <v/>
      </c>
      <c r="C358" s="11" t="str">
        <f aca="false">IF(A358="","",Cálculo!$B$6/Cálculo!$B$8+B358*Cálculo!$B$7/100)</f>
        <v/>
      </c>
      <c r="D358" s="11" t="str">
        <f aca="false">IF(A358="","",D357-(Cálculo!$B$10-D357*Cálculo!$B$7/100))</f>
        <v/>
      </c>
      <c r="E358" s="11" t="str">
        <f aca="false">IF(A358="","",Cálculo!$B$10)</f>
        <v/>
      </c>
    </row>
    <row r="359" customFormat="false" ht="15" hidden="false" customHeight="false" outlineLevel="0" collapsed="false">
      <c r="A359" s="0" t="str">
        <f aca="false">IF(358&lt;=Cálculo!$B$8,358,"")</f>
        <v/>
      </c>
      <c r="B359" s="11" t="str">
        <f aca="false">IF(A359="","",B358-Cálculo!$B$6/Cálculo!$B$8)</f>
        <v/>
      </c>
      <c r="C359" s="11" t="str">
        <f aca="false">IF(A359="","",Cálculo!$B$6/Cálculo!$B$8+B359*Cálculo!$B$7/100)</f>
        <v/>
      </c>
      <c r="D359" s="11" t="str">
        <f aca="false">IF(A359="","",D358-(Cálculo!$B$10-D358*Cálculo!$B$7/100))</f>
        <v/>
      </c>
      <c r="E359" s="11" t="str">
        <f aca="false">IF(A359="","",Cálculo!$B$10)</f>
        <v/>
      </c>
    </row>
    <row r="360" customFormat="false" ht="15" hidden="false" customHeight="false" outlineLevel="0" collapsed="false">
      <c r="A360" s="0" t="str">
        <f aca="false">IF(359&lt;=Cálculo!$B$8,359,"")</f>
        <v/>
      </c>
      <c r="B360" s="11" t="str">
        <f aca="false">IF(A360="","",B359-Cálculo!$B$6/Cálculo!$B$8)</f>
        <v/>
      </c>
      <c r="C360" s="11" t="str">
        <f aca="false">IF(A360="","",Cálculo!$B$6/Cálculo!$B$8+B360*Cálculo!$B$7/100)</f>
        <v/>
      </c>
      <c r="D360" s="11" t="str">
        <f aca="false">IF(A360="","",D359-(Cálculo!$B$10-D359*Cálculo!$B$7/100))</f>
        <v/>
      </c>
      <c r="E360" s="11" t="str">
        <f aca="false">IF(A360="","",Cálculo!$B$10)</f>
        <v/>
      </c>
    </row>
    <row r="361" customFormat="false" ht="15" hidden="false" customHeight="false" outlineLevel="0" collapsed="false">
      <c r="A361" s="0" t="str">
        <f aca="false">IF(360&lt;=Cálculo!$B$8,360,"")</f>
        <v/>
      </c>
      <c r="B361" s="11" t="str">
        <f aca="false">IF(A361="","",B360-Cálculo!$B$6/Cálculo!$B$8)</f>
        <v/>
      </c>
      <c r="C361" s="11" t="str">
        <f aca="false">IF(A361="","",Cálculo!$B$6/Cálculo!$B$8+B361*Cálculo!$B$7/100)</f>
        <v/>
      </c>
      <c r="D361" s="11" t="str">
        <f aca="false">IF(A361="","",D360-(Cálculo!$B$10-D360*Cálculo!$B$7/100))</f>
        <v/>
      </c>
      <c r="E361" s="11" t="str">
        <f aca="false">IF(A361="","",Cálculo!$B$10)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2026-10-14T01:04:00Z</dcterms:created>
  <dc:creator>openpyxl</dc:creator>
  <dc:description/>
  <dc:language>pt-BR</dc:language>
  <cp:lastModifiedBy/>
  <dcterms:modified xsi:type="dcterms:W3CDTF">2026-10-14T01:04:00Z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