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lcul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<sst xmlns="http://schemas.openxmlformats.org/spreadsheetml/2006/main" count="21" uniqueCount="19">
  <si>
    <t xml:space="preserve">Calculo de horas extras com DSR</t>
  </si>
  <si>
    <t xml:space="preserve">Preencha apenas as celulas amarelas. O resto e calculado.</t>
  </si>
  <si>
    <t xml:space="preserve">Fonte: CF art. 7o XVI; CLT art. 59; Lei 605/1949; TST Sumula 172</t>
  </si>
  <si>
    <t xml:space="preserve">Estimativa para fins informativos; nao e aconselhamento juridico ou financeiro. Confira a fonte oficial e a convencao coletiva da sua categoria.</t>
  </si>
  <si>
    <t xml:space="preserve">Salario bruto mensal</t>
  </si>
  <si>
    <t xml:space="preserve">Jornada semanal (horas)</t>
  </si>
  <si>
    <t xml:space="preserve">Divisor = 5 x jornada semanal (220 para 44h)</t>
  </si>
  <si>
    <t xml:space="preserve">Horas extras a 50%</t>
  </si>
  <si>
    <t xml:space="preserve">Horas extras a 100%</t>
  </si>
  <si>
    <t xml:space="preserve">100% so quando previsto em norma, convencao ou domingos e feriados</t>
  </si>
  <si>
    <t xml:space="preserve">Dias uteis do mes (sem domingos e feriados)</t>
  </si>
  <si>
    <t xml:space="preserve">Domingos e feriados do mes</t>
  </si>
  <si>
    <t xml:space="preserve">Divisor mensal</t>
  </si>
  <si>
    <t xml:space="preserve">Valor da hora normal</t>
  </si>
  <si>
    <t xml:space="preserve">Total de horas extras</t>
  </si>
  <si>
    <t xml:space="preserve">Reflexo no DSR</t>
  </si>
  <si>
    <t xml:space="preserve">Total de extras do mes / dias uteis x domingos e feriados</t>
  </si>
  <si>
    <t xml:space="preserve">Total com DSR</t>
  </si>
  <si>
    <t xml:space="preserve">Nao inclui reflexos em ferias e 13o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</si>
</sst>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"/>
    <numFmt numFmtId="166" formatCode="0"/>
    <numFmt numFmtId="167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2A47"/>
      <name val="Cambria"/>
      <family val="0"/>
      <charset val="1"/>
    </font>
    <font>
      <i val="true"/>
      <sz val="9"/>
      <color rgb="FF555555"/>
      <name val="Cambria"/>
      <family val="0"/>
      <charset val="1"/>
    </font>
    <font>
      <sz val="9"/>
      <color rgb="FF555555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4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7C3"/>
      <rgbColor rgb="FF808080"/>
      <rgbColor rgb="FF9999FF"/>
      <rgbColor rgb="FF993366"/>
      <rgbColor rgb="FFFFF4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F2A4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26562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5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6" customFormat="false" ht="15" hidden="false" customHeight="false" outlineLevel="0" collapsed="false">
      <c r="A6" s="0" t="s">
        <v>4</v>
      </c>
      <c r="B6" s="3" t="n">
        <v>2200</v>
      </c>
      <c r="C6" s="4"/>
    </row>
    <row r="7" customFormat="false" ht="15" hidden="false" customHeight="false" outlineLevel="0" collapsed="false">
      <c r="A7" s="0" t="s">
        <v>5</v>
      </c>
      <c r="B7" s="5" t="n">
        <v>44</v>
      </c>
      <c r="C7" s="4" t="s">
        <v>6</v>
      </c>
    </row>
    <row r="8" customFormat="false" ht="15" hidden="false" customHeight="false" outlineLevel="0" collapsed="false">
      <c r="A8" s="0" t="s">
        <v>7</v>
      </c>
      <c r="B8" s="6" t="n">
        <v>10</v>
      </c>
      <c r="C8" s="4"/>
    </row>
    <row r="9" customFormat="false" ht="15" hidden="false" customHeight="false" outlineLevel="0" collapsed="false">
      <c r="A9" s="0" t="s">
        <v>8</v>
      </c>
      <c r="B9" s="6" t="n">
        <v>0</v>
      </c>
      <c r="C9" s="4" t="s">
        <v>9</v>
      </c>
    </row>
    <row r="10" customFormat="false" ht="15" hidden="false" customHeight="false" outlineLevel="0" collapsed="false">
      <c r="A10" s="0" t="s">
        <v>10</v>
      </c>
      <c r="B10" s="5" t="n">
        <v>25</v>
      </c>
      <c r="C10" s="4"/>
    </row>
    <row r="11" customFormat="false" ht="15" hidden="false" customHeight="false" outlineLevel="0" collapsed="false">
      <c r="A11" s="0" t="s">
        <v>11</v>
      </c>
      <c r="B11" s="5" t="n">
        <v>5</v>
      </c>
      <c r="C11" s="4"/>
    </row>
    <row r="13" customFormat="false" ht="15" hidden="false" customHeight="false" outlineLevel="0" collapsed="false">
      <c r="A13" s="0" t="s">
        <v>12</v>
      </c>
      <c r="B13" s="7" t="n">
        <f aca="false">5*B7</f>
        <v>220</v>
      </c>
      <c r="C13" s="4"/>
    </row>
    <row r="14" customFormat="false" ht="15" hidden="false" customHeight="false" outlineLevel="0" collapsed="false">
      <c r="A14" s="0" t="s">
        <v>13</v>
      </c>
      <c r="B14" s="8" t="n">
        <f aca="false">B6/B13</f>
        <v>10</v>
      </c>
      <c r="C14" s="4"/>
    </row>
    <row r="15" customFormat="false" ht="15" hidden="false" customHeight="false" outlineLevel="0" collapsed="false">
      <c r="A15" s="0" t="s">
        <v>7</v>
      </c>
      <c r="B15" s="8" t="n">
        <f aca="false">B8*B14*1.5</f>
        <v>150</v>
      </c>
      <c r="C15" s="4"/>
    </row>
    <row r="16" customFormat="false" ht="15" hidden="false" customHeight="false" outlineLevel="0" collapsed="false">
      <c r="A16" s="0" t="s">
        <v>8</v>
      </c>
      <c r="B16" s="8" t="n">
        <f aca="false">B9*B14*2</f>
        <v>0</v>
      </c>
      <c r="C16" s="4"/>
    </row>
    <row r="17" customFormat="false" ht="15" hidden="false" customHeight="false" outlineLevel="0" collapsed="false">
      <c r="A17" s="9" t="s">
        <v>14</v>
      </c>
      <c r="B17" s="10" t="n">
        <f aca="false">B15+B16</f>
        <v>150</v>
      </c>
      <c r="C17" s="4"/>
    </row>
    <row r="18" customFormat="false" ht="15" hidden="false" customHeight="false" outlineLevel="0" collapsed="false">
      <c r="A18" s="0" t="s">
        <v>15</v>
      </c>
      <c r="B18" s="8" t="n">
        <f aca="false">B17/B10*B11</f>
        <v>30</v>
      </c>
      <c r="C18" s="4" t="s">
        <v>16</v>
      </c>
    </row>
    <row r="19" customFormat="false" ht="15" hidden="false" customHeight="false" outlineLevel="0" collapsed="false">
      <c r="A19" s="9" t="s">
        <v>17</v>
      </c>
      <c r="B19" s="10" t="n">
        <f aca="false">B17+B18</f>
        <v>180</v>
      </c>
      <c r="C19" s="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2026-10-14T00:54:29Z</dcterms:created>
  <dc:creator>openpyxl</dc:creator>
  <dc:description/>
  <dc:language>pt-BR</dc:language>
  <cp:lastModifiedBy/>
  <dcterms:modified xsi:type="dcterms:W3CDTF">2026-10-14T00:54:29Z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