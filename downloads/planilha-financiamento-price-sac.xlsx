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o" sheetId="1" state="visible" r:id="rId3"/>
    <sheet name="Parcela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<sst xmlns="http://schemas.openxmlformats.org/spreadsheetml/2006/main" count="21" uniqueCount="21">
  <si>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Financiamento: Price x SAC</t>
  </si>
  <si>
    <t xml:space="preserve">Preencha apenas as celulas amarelas. O resto e calculado.</t>
  </si>
  <si>
    <t xml:space="preserve">Fonte: Tabela Price e SAC, juros compostos mensais sobre o saldo devedor</t>
  </si>
  <si>
    <t xml:space="preserve">Estimativa para fins informativos; nao e aconselhamento juridico ou financeiro. Confira a fonte oficial e a convencao coletiva da sua categoria.</t>
  </si>
  <si>
    <t xml:space="preserve">Valor financiado</t>
  </si>
  <si>
    <t xml:space="preserve">Taxa de juros mensal (%)</t>
  </si>
  <si>
    <t xml:space="preserve">Prazo (meses, ate 360)</t>
  </si>
  <si>
    <t xml:space="preserve">Price: parcela fixa</t>
  </si>
  <si>
    <t xml:space="preserve">Price: total pago</t>
  </si>
  <si>
    <t xml:space="preserve">Price: juros totais</t>
  </si>
  <si>
    <t xml:space="preserve">SAC: primeira parcela</t>
  </si>
  <si>
    <t xml:space="preserve">SAC: ultima parcela</t>
  </si>
  <si>
    <t xml:space="preserve">SAC: total pago</t>
  </si>
  <si>
    <t xml:space="preserve">SAC: juros totais</t>
  </si>
  <si>
    <t xml:space="preserve">Diferenca de juros (Price - SAC)</t>
  </si>
  <si>
    <t xml:space="preserve">Sem IOF, seguros e tarifas</t>
  </si>
  <si>
    <t xml:space="preserve">Mes</t>
  </si>
  <si>
    <t xml:space="preserve">Saldo SAC</t>
  </si>
  <si>
    <t xml:space="preserve">Parcela SAC</t>
  </si>
  <si>
    <t xml:space="preserve">Saldo Price</t>
  </si>
  <si>
    <t xml:space="preserve">Parcela Price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</si>
</sst>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000"/>
    <numFmt numFmtId="167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A47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9"/>
      <color rgb="FF555555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CC"/>
        <bgColor rgb="FFFFFFFF"/>
      </patternFill>
    </fill>
    <fill>
      <patternFill patternType="solid">
        <fgColor rgb="FF0F2A47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C3"/>
      <rgbColor rgb="FF808080"/>
      <rgbColor rgb="FF9999FF"/>
      <rgbColor rgb="FF993366"/>
      <rgbColor rgb="FFFFF4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5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0" t="s">
        <v>4</v>
      </c>
      <c r="B6" s="3" t="n">
        <v>100000</v>
      </c>
      <c r="C6" s="4"/>
    </row>
    <row r="7" customFormat="false" ht="15" hidden="false" customHeight="false" outlineLevel="0" collapsed="false">
      <c r="A7" s="0" t="s">
        <v>5</v>
      </c>
      <c r="B7" s="5" t="n">
        <v>1</v>
      </c>
      <c r="C7" s="4"/>
    </row>
    <row r="8" customFormat="false" ht="15" hidden="false" customHeight="false" outlineLevel="0" collapsed="false">
      <c r="A8" s="0" t="s">
        <v>6</v>
      </c>
      <c r="B8" s="6" t="n">
        <v>12</v>
      </c>
      <c r="C8" s="4"/>
    </row>
    <row r="10" customFormat="false" ht="15" hidden="false" customHeight="false" outlineLevel="0" collapsed="false">
      <c r="A10" s="0" t="s">
        <v>7</v>
      </c>
      <c r="B10" s="7" t="n">
        <f aca="false">IF(B7=0,B6/B8,B6*(B7/100)/(1-(1+B7/100)^(-B8)))</f>
        <v>8884.87886783416</v>
      </c>
      <c r="C10" s="4"/>
    </row>
    <row r="11" customFormat="false" ht="15" hidden="false" customHeight="false" outlineLevel="0" collapsed="false">
      <c r="A11" s="0" t="s">
        <v>8</v>
      </c>
      <c r="B11" s="7" t="n">
        <f aca="false">B10*B8</f>
        <v>106618.54641401</v>
      </c>
      <c r="C11" s="4"/>
    </row>
    <row r="12" customFormat="false" ht="15" hidden="false" customHeight="false" outlineLevel="0" collapsed="false">
      <c r="A12" s="8" t="s">
        <v>9</v>
      </c>
      <c r="B12" s="9" t="n">
        <f aca="false">B11-B6</f>
        <v>6618.54641400994</v>
      </c>
      <c r="C12" s="4"/>
    </row>
    <row r="13" customFormat="false" ht="15" hidden="false" customHeight="false" outlineLevel="0" collapsed="false">
      <c r="A13" s="0" t="s">
        <v>10</v>
      </c>
      <c r="B13" s="7" t="n">
        <f aca="false">B6/B8+B6*B7/100</f>
        <v>9333.33333333333</v>
      </c>
      <c r="C13" s="4"/>
    </row>
    <row r="14" customFormat="false" ht="15" hidden="false" customHeight="false" outlineLevel="0" collapsed="false">
      <c r="A14" s="0" t="s">
        <v>11</v>
      </c>
      <c r="B14" s="7" t="n">
        <f aca="false">B6/B8+(B6/B8)*B7/100</f>
        <v>8416.66666666667</v>
      </c>
      <c r="C14" s="4"/>
    </row>
    <row r="15" customFormat="false" ht="15" hidden="false" customHeight="false" outlineLevel="0" collapsed="false">
      <c r="A15" s="0" t="s">
        <v>12</v>
      </c>
      <c r="B15" s="7" t="n">
        <f aca="false">B6+B6*(B7/100)*(B8+1)/2</f>
        <v>106500</v>
      </c>
      <c r="C15" s="4"/>
    </row>
    <row r="16" customFormat="false" ht="15" hidden="false" customHeight="false" outlineLevel="0" collapsed="false">
      <c r="A16" s="8" t="s">
        <v>13</v>
      </c>
      <c r="B16" s="9" t="n">
        <f aca="false">B15-B6</f>
        <v>6500</v>
      </c>
      <c r="C16" s="4"/>
    </row>
    <row r="17" customFormat="false" ht="15" hidden="false" customHeight="false" outlineLevel="0" collapsed="false">
      <c r="A17" s="0" t="s">
        <v>14</v>
      </c>
      <c r="B17" s="7" t="n">
        <f aca="false">B12-B16</f>
        <v>118.546414009936</v>
      </c>
      <c r="C17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</row>
    <row r="2" customFormat="false" ht="15" hidden="false" customHeight="false" outlineLevel="0" collapsed="false">
      <c r="A2" s="0" t="n">
        <f aca="false">IF(1&lt;=Calculo!$B$8,1,"")</f>
        <v>1</v>
      </c>
      <c r="B2" s="11" t="n">
        <f aca="false">IF(A2="","",Calculo!$B$6)</f>
        <v>100000</v>
      </c>
      <c r="C2" s="11" t="n">
        <f aca="false">IF(A2="","",Calculo!$B$6/Calculo!$B$8+B2*Calculo!$B$7/100)</f>
        <v>9333.33333333333</v>
      </c>
      <c r="D2" s="11" t="n">
        <f aca="false">IF(A2="","",Calculo!$B$6)</f>
        <v>100000</v>
      </c>
      <c r="E2" s="11" t="n">
        <f aca="false">IF(A2="","",Calculo!$B$10)</f>
        <v>8884.87886783416</v>
      </c>
    </row>
    <row r="3" customFormat="false" ht="15" hidden="false" customHeight="false" outlineLevel="0" collapsed="false">
      <c r="A3" s="0" t="n">
        <f aca="false">IF(2&lt;=Calculo!$B$8,2,"")</f>
        <v>2</v>
      </c>
      <c r="B3" s="11" t="n">
        <f aca="false">IF(A3="","",B2-Calculo!$B$6/Calculo!$B$8)</f>
        <v>91666.6666666667</v>
      </c>
      <c r="C3" s="11" t="n">
        <f aca="false">IF(A3="","",Calculo!$B$6/Calculo!$B$8+B3*Calculo!$B$7/100)</f>
        <v>9250</v>
      </c>
      <c r="D3" s="11" t="n">
        <f aca="false">IF(A3="","",D2-(Calculo!$B$10-D2*Calculo!$B$7/100))</f>
        <v>92115.1211321658</v>
      </c>
      <c r="E3" s="11" t="n">
        <f aca="false">IF(A3="","",Calculo!$B$10)</f>
        <v>8884.87886783416</v>
      </c>
    </row>
    <row r="4" customFormat="false" ht="15" hidden="false" customHeight="false" outlineLevel="0" collapsed="false">
      <c r="A4" s="0" t="n">
        <f aca="false">IF(3&lt;=Calculo!$B$8,3,"")</f>
        <v>3</v>
      </c>
      <c r="B4" s="11" t="n">
        <f aca="false">IF(A4="","",B3-Calculo!$B$6/Calculo!$B$8)</f>
        <v>83333.3333333333</v>
      </c>
      <c r="C4" s="11" t="n">
        <f aca="false">IF(A4="","",Calculo!$B$6/Calculo!$B$8+B4*Calculo!$B$7/100)</f>
        <v>9166.66666666667</v>
      </c>
      <c r="D4" s="11" t="n">
        <f aca="false">IF(A4="","",D3-(Calculo!$B$10-D3*Calculo!$B$7/100))</f>
        <v>84151.3934756533</v>
      </c>
      <c r="E4" s="11" t="n">
        <f aca="false">IF(A4="","",Calculo!$B$10)</f>
        <v>8884.87886783416</v>
      </c>
    </row>
    <row r="5" customFormat="false" ht="15" hidden="false" customHeight="false" outlineLevel="0" collapsed="false">
      <c r="A5" s="0" t="n">
        <f aca="false">IF(4&lt;=Calculo!$B$8,4,"")</f>
        <v>4</v>
      </c>
      <c r="B5" s="11" t="n">
        <f aca="false">IF(A5="","",B4-Calculo!$B$6/Calculo!$B$8)</f>
        <v>75000</v>
      </c>
      <c r="C5" s="11" t="n">
        <f aca="false">IF(A5="","",Calculo!$B$6/Calculo!$B$8+B5*Calculo!$B$7/100)</f>
        <v>9083.33333333333</v>
      </c>
      <c r="D5" s="11" t="n">
        <f aca="false">IF(A5="","",D4-(Calculo!$B$10-D4*Calculo!$B$7/100))</f>
        <v>76108.0285425757</v>
      </c>
      <c r="E5" s="11" t="n">
        <f aca="false">IF(A5="","",Calculo!$B$10)</f>
        <v>8884.87886783416</v>
      </c>
    </row>
    <row r="6" customFormat="false" ht="15" hidden="false" customHeight="false" outlineLevel="0" collapsed="false">
      <c r="A6" s="0" t="n">
        <f aca="false">IF(5&lt;=Calculo!$B$8,5,"")</f>
        <v>5</v>
      </c>
      <c r="B6" s="11" t="n">
        <f aca="false">IF(A6="","",B5-Calculo!$B$6/Calculo!$B$8)</f>
        <v>66666.6666666667</v>
      </c>
      <c r="C6" s="11" t="n">
        <f aca="false">IF(A6="","",Calculo!$B$6/Calculo!$B$8+B6*Calculo!$B$7/100)</f>
        <v>9000</v>
      </c>
      <c r="D6" s="11" t="n">
        <f aca="false">IF(A6="","",D5-(Calculo!$B$10-D5*Calculo!$B$7/100))</f>
        <v>67984.2299601673</v>
      </c>
      <c r="E6" s="11" t="n">
        <f aca="false">IF(A6="","",Calculo!$B$10)</f>
        <v>8884.87886783416</v>
      </c>
    </row>
    <row r="7" customFormat="false" ht="15" hidden="false" customHeight="false" outlineLevel="0" collapsed="false">
      <c r="A7" s="0" t="n">
        <f aca="false">IF(6&lt;=Calculo!$B$8,6,"")</f>
        <v>6</v>
      </c>
      <c r="B7" s="11" t="n">
        <f aca="false">IF(A7="","",B6-Calculo!$B$6/Calculo!$B$8)</f>
        <v>58333.3333333334</v>
      </c>
      <c r="C7" s="11" t="n">
        <f aca="false">IF(A7="","",Calculo!$B$6/Calculo!$B$8+B7*Calculo!$B$7/100)</f>
        <v>8916.66666666667</v>
      </c>
      <c r="D7" s="11" t="n">
        <f aca="false">IF(A7="","",D6-(Calculo!$B$10-D6*Calculo!$B$7/100))</f>
        <v>59779.1933919348</v>
      </c>
      <c r="E7" s="11" t="n">
        <f aca="false">IF(A7="","",Calculo!$B$10)</f>
        <v>8884.87886783416</v>
      </c>
    </row>
    <row r="8" customFormat="false" ht="15" hidden="false" customHeight="false" outlineLevel="0" collapsed="false">
      <c r="A8" s="0" t="n">
        <f aca="false">IF(7&lt;=Calculo!$B$8,7,"")</f>
        <v>7</v>
      </c>
      <c r="B8" s="11" t="n">
        <f aca="false">IF(A8="","",B7-Calculo!$B$6/Calculo!$B$8)</f>
        <v>50000</v>
      </c>
      <c r="C8" s="11" t="n">
        <f aca="false">IF(A8="","",Calculo!$B$6/Calculo!$B$8+B8*Calculo!$B$7/100)</f>
        <v>8833.33333333333</v>
      </c>
      <c r="D8" s="11" t="n">
        <f aca="false">IF(A8="","",D7-(Calculo!$B$10-D7*Calculo!$B$7/100))</f>
        <v>51492.10645802</v>
      </c>
      <c r="E8" s="11" t="n">
        <f aca="false">IF(A8="","",Calculo!$B$10)</f>
        <v>8884.87886783416</v>
      </c>
    </row>
    <row r="9" customFormat="false" ht="15" hidden="false" customHeight="false" outlineLevel="0" collapsed="false">
      <c r="A9" s="0" t="n">
        <f aca="false">IF(8&lt;=Calculo!$B$8,8,"")</f>
        <v>8</v>
      </c>
      <c r="B9" s="11" t="n">
        <f aca="false">IF(A9="","",B8-Calculo!$B$6/Calculo!$B$8)</f>
        <v>41666.6666666667</v>
      </c>
      <c r="C9" s="11" t="n">
        <f aca="false">IF(A9="","",Calculo!$B$6/Calculo!$B$8+B9*Calculo!$B$7/100)</f>
        <v>8750</v>
      </c>
      <c r="D9" s="11" t="n">
        <f aca="false">IF(A9="","",D8-(Calculo!$B$10-D8*Calculo!$B$7/100))</f>
        <v>43122.148654766</v>
      </c>
      <c r="E9" s="11" t="n">
        <f aca="false">IF(A9="","",Calculo!$B$10)</f>
        <v>8884.87886783416</v>
      </c>
    </row>
    <row r="10" customFormat="false" ht="15" hidden="false" customHeight="false" outlineLevel="0" collapsed="false">
      <c r="A10" s="0" t="n">
        <f aca="false">IF(9&lt;=Calculo!$B$8,9,"")</f>
        <v>9</v>
      </c>
      <c r="B10" s="11" t="n">
        <f aca="false">IF(A10="","",B9-Calculo!$B$6/Calculo!$B$8)</f>
        <v>33333.3333333333</v>
      </c>
      <c r="C10" s="11" t="n">
        <f aca="false">IF(A10="","",Calculo!$B$6/Calculo!$B$8+B10*Calculo!$B$7/100)</f>
        <v>8666.66666666667</v>
      </c>
      <c r="D10" s="11" t="n">
        <f aca="false">IF(A10="","",D9-(Calculo!$B$10-D9*Calculo!$B$7/100))</f>
        <v>34668.4912734795</v>
      </c>
      <c r="E10" s="11" t="n">
        <f aca="false">IF(A10="","",Calculo!$B$10)</f>
        <v>8884.87886783416</v>
      </c>
    </row>
    <row r="11" customFormat="false" ht="15" hidden="false" customHeight="false" outlineLevel="0" collapsed="false">
      <c r="A11" s="0" t="n">
        <f aca="false">IF(10&lt;=Calculo!$B$8,10,"")</f>
        <v>10</v>
      </c>
      <c r="B11" s="11" t="n">
        <f aca="false">IF(A11="","",B10-Calculo!$B$6/Calculo!$B$8)</f>
        <v>25000</v>
      </c>
      <c r="C11" s="11" t="n">
        <f aca="false">IF(A11="","",Calculo!$B$6/Calculo!$B$8+B11*Calculo!$B$7/100)</f>
        <v>8583.33333333333</v>
      </c>
      <c r="D11" s="11" t="n">
        <f aca="false">IF(A11="","",D10-(Calculo!$B$10-D10*Calculo!$B$7/100))</f>
        <v>26130.2973183802</v>
      </c>
      <c r="E11" s="11" t="n">
        <f aca="false">IF(A11="","",Calculo!$B$10)</f>
        <v>8884.87886783416</v>
      </c>
    </row>
    <row r="12" customFormat="false" ht="15" hidden="false" customHeight="false" outlineLevel="0" collapsed="false">
      <c r="A12" s="0" t="n">
        <f aca="false">IF(11&lt;=Calculo!$B$8,11,"")</f>
        <v>11</v>
      </c>
      <c r="B12" s="11" t="n">
        <f aca="false">IF(A12="","",B11-Calculo!$B$6/Calculo!$B$8)</f>
        <v>16666.6666666667</v>
      </c>
      <c r="C12" s="11" t="n">
        <f aca="false">IF(A12="","",Calculo!$B$6/Calculo!$B$8+B12*Calculo!$B$7/100)</f>
        <v>8500</v>
      </c>
      <c r="D12" s="11" t="n">
        <f aca="false">IF(A12="","",D11-(Calculo!$B$10-D11*Calculo!$B$7/100))</f>
        <v>17506.7214237298</v>
      </c>
      <c r="E12" s="11" t="n">
        <f aca="false">IF(A12="","",Calculo!$B$10)</f>
        <v>8884.87886783416</v>
      </c>
    </row>
    <row r="13" customFormat="false" ht="15" hidden="false" customHeight="false" outlineLevel="0" collapsed="false">
      <c r="A13" s="0" t="n">
        <f aca="false">IF(12&lt;=Calculo!$B$8,12,"")</f>
        <v>12</v>
      </c>
      <c r="B13" s="11" t="n">
        <f aca="false">IF(A13="","",B12-Calculo!$B$6/Calculo!$B$8)</f>
        <v>8333.33333333334</v>
      </c>
      <c r="C13" s="11" t="n">
        <f aca="false">IF(A13="","",Calculo!$B$6/Calculo!$B$8+B13*Calculo!$B$7/100)</f>
        <v>8416.66666666667</v>
      </c>
      <c r="D13" s="11" t="n">
        <f aca="false">IF(A13="","",D12-(Calculo!$B$10-D12*Calculo!$B$7/100))</f>
        <v>8796.90977013295</v>
      </c>
      <c r="E13" s="11" t="n">
        <f aca="false">IF(A13="","",Calculo!$B$10)</f>
        <v>8884.87886783416</v>
      </c>
    </row>
    <row r="14" customFormat="false" ht="15" hidden="false" customHeight="false" outlineLevel="0" collapsed="false">
      <c r="A14" s="0" t="str">
        <f aca="false">IF(13&lt;=Calculo!$B$8,13,"")</f>
        <v/>
      </c>
      <c r="B14" s="11" t="str">
        <f aca="false">IF(A14="","",B13-Calculo!$B$6/Calculo!$B$8)</f>
        <v/>
      </c>
      <c r="C14" s="11" t="str">
        <f aca="false">IF(A14="","",Calculo!$B$6/Calculo!$B$8+B14*Calculo!$B$7/100)</f>
        <v/>
      </c>
      <c r="D14" s="11" t="str">
        <f aca="false">IF(A14="","",D13-(Calculo!$B$10-D13*Calculo!$B$7/100))</f>
        <v/>
      </c>
      <c r="E14" s="11" t="str">
        <f aca="false">IF(A14="","",Calculo!$B$10)</f>
        <v/>
      </c>
    </row>
    <row r="15" customFormat="false" ht="15" hidden="false" customHeight="false" outlineLevel="0" collapsed="false">
      <c r="A15" s="0" t="str">
        <f aca="false">IF(14&lt;=Calculo!$B$8,14,"")</f>
        <v/>
      </c>
      <c r="B15" s="11" t="str">
        <f aca="false">IF(A15="","",B14-Calculo!$B$6/Calculo!$B$8)</f>
        <v/>
      </c>
      <c r="C15" s="11" t="str">
        <f aca="false">IF(A15="","",Calculo!$B$6/Calculo!$B$8+B15*Calculo!$B$7/100)</f>
        <v/>
      </c>
      <c r="D15" s="11" t="str">
        <f aca="false">IF(A15="","",D14-(Calculo!$B$10-D14*Calculo!$B$7/100))</f>
        <v/>
      </c>
      <c r="E15" s="11" t="str">
        <f aca="false">IF(A15="","",Calculo!$B$10)</f>
        <v/>
      </c>
    </row>
    <row r="16" customFormat="false" ht="15" hidden="false" customHeight="false" outlineLevel="0" collapsed="false">
      <c r="A16" s="0" t="str">
        <f aca="false">IF(15&lt;=Calculo!$B$8,15,"")</f>
        <v/>
      </c>
      <c r="B16" s="11" t="str">
        <f aca="false">IF(A16="","",B15-Calculo!$B$6/Calculo!$B$8)</f>
        <v/>
      </c>
      <c r="C16" s="11" t="str">
        <f aca="false">IF(A16="","",Calculo!$B$6/Calculo!$B$8+B16*Calculo!$B$7/100)</f>
        <v/>
      </c>
      <c r="D16" s="11" t="str">
        <f aca="false">IF(A16="","",D15-(Calculo!$B$10-D15*Calculo!$B$7/100))</f>
        <v/>
      </c>
      <c r="E16" s="11" t="str">
        <f aca="false">IF(A16="","",Calculo!$B$10)</f>
        <v/>
      </c>
    </row>
    <row r="17" customFormat="false" ht="15" hidden="false" customHeight="false" outlineLevel="0" collapsed="false">
      <c r="A17" s="0" t="str">
        <f aca="false">IF(16&lt;=Calculo!$B$8,16,"")</f>
        <v/>
      </c>
      <c r="B17" s="11" t="str">
        <f aca="false">IF(A17="","",B16-Calculo!$B$6/Calculo!$B$8)</f>
        <v/>
      </c>
      <c r="C17" s="11" t="str">
        <f aca="false">IF(A17="","",Calculo!$B$6/Calculo!$B$8+B17*Calculo!$B$7/100)</f>
        <v/>
      </c>
      <c r="D17" s="11" t="str">
        <f aca="false">IF(A17="","",D16-(Calculo!$B$10-D16*Calculo!$B$7/100))</f>
        <v/>
      </c>
      <c r="E17" s="11" t="str">
        <f aca="false">IF(A17="","",Calculo!$B$10)</f>
        <v/>
      </c>
    </row>
    <row r="18" customFormat="false" ht="15" hidden="false" customHeight="false" outlineLevel="0" collapsed="false">
      <c r="A18" s="0" t="str">
        <f aca="false">IF(17&lt;=Calculo!$B$8,17,"")</f>
        <v/>
      </c>
      <c r="B18" s="11" t="str">
        <f aca="false">IF(A18="","",B17-Calculo!$B$6/Calculo!$B$8)</f>
        <v/>
      </c>
      <c r="C18" s="11" t="str">
        <f aca="false">IF(A18="","",Calculo!$B$6/Calculo!$B$8+B18*Calculo!$B$7/100)</f>
        <v/>
      </c>
      <c r="D18" s="11" t="str">
        <f aca="false">IF(A18="","",D17-(Calculo!$B$10-D17*Calculo!$B$7/100))</f>
        <v/>
      </c>
      <c r="E18" s="11" t="str">
        <f aca="false">IF(A18="","",Calculo!$B$10)</f>
        <v/>
      </c>
    </row>
    <row r="19" customFormat="false" ht="15" hidden="false" customHeight="false" outlineLevel="0" collapsed="false">
      <c r="A19" s="0" t="str">
        <f aca="false">IF(18&lt;=Calculo!$B$8,18,"")</f>
        <v/>
      </c>
      <c r="B19" s="11" t="str">
        <f aca="false">IF(A19="","",B18-Calculo!$B$6/Calculo!$B$8)</f>
        <v/>
      </c>
      <c r="C19" s="11" t="str">
        <f aca="false">IF(A19="","",Calculo!$B$6/Calculo!$B$8+B19*Calculo!$B$7/100)</f>
        <v/>
      </c>
      <c r="D19" s="11" t="str">
        <f aca="false">IF(A19="","",D18-(Calculo!$B$10-D18*Calculo!$B$7/100))</f>
        <v/>
      </c>
      <c r="E19" s="11" t="str">
        <f aca="false">IF(A19="","",Calculo!$B$10)</f>
        <v/>
      </c>
    </row>
    <row r="20" customFormat="false" ht="15" hidden="false" customHeight="false" outlineLevel="0" collapsed="false">
      <c r="A20" s="0" t="str">
        <f aca="false">IF(19&lt;=Calculo!$B$8,19,"")</f>
        <v/>
      </c>
      <c r="B20" s="11" t="str">
        <f aca="false">IF(A20="","",B19-Calculo!$B$6/Calculo!$B$8)</f>
        <v/>
      </c>
      <c r="C20" s="11" t="str">
        <f aca="false">IF(A20="","",Calculo!$B$6/Calculo!$B$8+B20*Calculo!$B$7/100)</f>
        <v/>
      </c>
      <c r="D20" s="11" t="str">
        <f aca="false">IF(A20="","",D19-(Calculo!$B$10-D19*Calculo!$B$7/100))</f>
        <v/>
      </c>
      <c r="E20" s="11" t="str">
        <f aca="false">IF(A20="","",Calculo!$B$10)</f>
        <v/>
      </c>
    </row>
    <row r="21" customFormat="false" ht="15" hidden="false" customHeight="false" outlineLevel="0" collapsed="false">
      <c r="A21" s="0" t="str">
        <f aca="false">IF(20&lt;=Calculo!$B$8,20,"")</f>
        <v/>
      </c>
      <c r="B21" s="11" t="str">
        <f aca="false">IF(A21="","",B20-Calculo!$B$6/Calculo!$B$8)</f>
        <v/>
      </c>
      <c r="C21" s="11" t="str">
        <f aca="false">IF(A21="","",Calculo!$B$6/Calculo!$B$8+B21*Calculo!$B$7/100)</f>
        <v/>
      </c>
      <c r="D21" s="11" t="str">
        <f aca="false">IF(A21="","",D20-(Calculo!$B$10-D20*Calculo!$B$7/100))</f>
        <v/>
      </c>
      <c r="E21" s="11" t="str">
        <f aca="false">IF(A21="","",Calculo!$B$10)</f>
        <v/>
      </c>
    </row>
    <row r="22" customFormat="false" ht="15" hidden="false" customHeight="false" outlineLevel="0" collapsed="false">
      <c r="A22" s="0" t="str">
        <f aca="false">IF(21&lt;=Calculo!$B$8,21,"")</f>
        <v/>
      </c>
      <c r="B22" s="11" t="str">
        <f aca="false">IF(A22="","",B21-Calculo!$B$6/Calculo!$B$8)</f>
        <v/>
      </c>
      <c r="C22" s="11" t="str">
        <f aca="false">IF(A22="","",Calculo!$B$6/Calculo!$B$8+B22*Calculo!$B$7/100)</f>
        <v/>
      </c>
      <c r="D22" s="11" t="str">
        <f aca="false">IF(A22="","",D21-(Calculo!$B$10-D21*Calculo!$B$7/100))</f>
        <v/>
      </c>
      <c r="E22" s="11" t="str">
        <f aca="false">IF(A22="","",Calculo!$B$10)</f>
        <v/>
      </c>
    </row>
    <row r="23" customFormat="false" ht="15" hidden="false" customHeight="false" outlineLevel="0" collapsed="false">
      <c r="A23" s="0" t="str">
        <f aca="false">IF(22&lt;=Calculo!$B$8,22,"")</f>
        <v/>
      </c>
      <c r="B23" s="11" t="str">
        <f aca="false">IF(A23="","",B22-Calculo!$B$6/Calculo!$B$8)</f>
        <v/>
      </c>
      <c r="C23" s="11" t="str">
        <f aca="false">IF(A23="","",Calculo!$B$6/Calculo!$B$8+B23*Calculo!$B$7/100)</f>
        <v/>
      </c>
      <c r="D23" s="11" t="str">
        <f aca="false">IF(A23="","",D22-(Calculo!$B$10-D22*Calculo!$B$7/100))</f>
        <v/>
      </c>
      <c r="E23" s="11" t="str">
        <f aca="false">IF(A23="","",Calculo!$B$10)</f>
        <v/>
      </c>
    </row>
    <row r="24" customFormat="false" ht="15" hidden="false" customHeight="false" outlineLevel="0" collapsed="false">
      <c r="A24" s="0" t="str">
        <f aca="false">IF(23&lt;=Calculo!$B$8,23,"")</f>
        <v/>
      </c>
      <c r="B24" s="11" t="str">
        <f aca="false">IF(A24="","",B23-Calculo!$B$6/Calculo!$B$8)</f>
        <v/>
      </c>
      <c r="C24" s="11" t="str">
        <f aca="false">IF(A24="","",Calculo!$B$6/Calculo!$B$8+B24*Calculo!$B$7/100)</f>
        <v/>
      </c>
      <c r="D24" s="11" t="str">
        <f aca="false">IF(A24="","",D23-(Calculo!$B$10-D23*Calculo!$B$7/100))</f>
        <v/>
      </c>
      <c r="E24" s="11" t="str">
        <f aca="false">IF(A24="","",Calculo!$B$10)</f>
        <v/>
      </c>
    </row>
    <row r="25" customFormat="false" ht="15" hidden="false" customHeight="false" outlineLevel="0" collapsed="false">
      <c r="A25" s="0" t="str">
        <f aca="false">IF(24&lt;=Calculo!$B$8,24,"")</f>
        <v/>
      </c>
      <c r="B25" s="11" t="str">
        <f aca="false">IF(A25="","",B24-Calculo!$B$6/Calculo!$B$8)</f>
        <v/>
      </c>
      <c r="C25" s="11" t="str">
        <f aca="false">IF(A25="","",Calculo!$B$6/Calculo!$B$8+B25*Calculo!$B$7/100)</f>
        <v/>
      </c>
      <c r="D25" s="11" t="str">
        <f aca="false">IF(A25="","",D24-(Calculo!$B$10-D24*Calculo!$B$7/100))</f>
        <v/>
      </c>
      <c r="E25" s="11" t="str">
        <f aca="false">IF(A25="","",Calculo!$B$10)</f>
        <v/>
      </c>
    </row>
    <row r="26" customFormat="false" ht="15" hidden="false" customHeight="false" outlineLevel="0" collapsed="false">
      <c r="A26" s="0" t="str">
        <f aca="false">IF(25&lt;=Calculo!$B$8,25,"")</f>
        <v/>
      </c>
      <c r="B26" s="11" t="str">
        <f aca="false">IF(A26="","",B25-Calculo!$B$6/Calculo!$B$8)</f>
        <v/>
      </c>
      <c r="C26" s="11" t="str">
        <f aca="false">IF(A26="","",Calculo!$B$6/Calculo!$B$8+B26*Calculo!$B$7/100)</f>
        <v/>
      </c>
      <c r="D26" s="11" t="str">
        <f aca="false">IF(A26="","",D25-(Calculo!$B$10-D25*Calculo!$B$7/100))</f>
        <v/>
      </c>
      <c r="E26" s="11" t="str">
        <f aca="false">IF(A26="","",Calculo!$B$10)</f>
        <v/>
      </c>
    </row>
    <row r="27" customFormat="false" ht="15" hidden="false" customHeight="false" outlineLevel="0" collapsed="false">
      <c r="A27" s="0" t="str">
        <f aca="false">IF(26&lt;=Calculo!$B$8,26,"")</f>
        <v/>
      </c>
      <c r="B27" s="11" t="str">
        <f aca="false">IF(A27="","",B26-Calculo!$B$6/Calculo!$B$8)</f>
        <v/>
      </c>
      <c r="C27" s="11" t="str">
        <f aca="false">IF(A27="","",Calculo!$B$6/Calculo!$B$8+B27*Calculo!$B$7/100)</f>
        <v/>
      </c>
      <c r="D27" s="11" t="str">
        <f aca="false">IF(A27="","",D26-(Calculo!$B$10-D26*Calculo!$B$7/100))</f>
        <v/>
      </c>
      <c r="E27" s="11" t="str">
        <f aca="false">IF(A27="","",Calculo!$B$10)</f>
        <v/>
      </c>
    </row>
    <row r="28" customFormat="false" ht="15" hidden="false" customHeight="false" outlineLevel="0" collapsed="false">
      <c r="A28" s="0" t="str">
        <f aca="false">IF(27&lt;=Calculo!$B$8,27,"")</f>
        <v/>
      </c>
      <c r="B28" s="11" t="str">
        <f aca="false">IF(A28="","",B27-Calculo!$B$6/Calculo!$B$8)</f>
        <v/>
      </c>
      <c r="C28" s="11" t="str">
        <f aca="false">IF(A28="","",Calculo!$B$6/Calculo!$B$8+B28*Calculo!$B$7/100)</f>
        <v/>
      </c>
      <c r="D28" s="11" t="str">
        <f aca="false">IF(A28="","",D27-(Calculo!$B$10-D27*Calculo!$B$7/100))</f>
        <v/>
      </c>
      <c r="E28" s="11" t="str">
        <f aca="false">IF(A28="","",Calculo!$B$10)</f>
        <v/>
      </c>
    </row>
    <row r="29" customFormat="false" ht="15" hidden="false" customHeight="false" outlineLevel="0" collapsed="false">
      <c r="A29" s="0" t="str">
        <f aca="false">IF(28&lt;=Calculo!$B$8,28,"")</f>
        <v/>
      </c>
      <c r="B29" s="11" t="str">
        <f aca="false">IF(A29="","",B28-Calculo!$B$6/Calculo!$B$8)</f>
        <v/>
      </c>
      <c r="C29" s="11" t="str">
        <f aca="false">IF(A29="","",Calculo!$B$6/Calculo!$B$8+B29*Calculo!$B$7/100)</f>
        <v/>
      </c>
      <c r="D29" s="11" t="str">
        <f aca="false">IF(A29="","",D28-(Calculo!$B$10-D28*Calculo!$B$7/100))</f>
        <v/>
      </c>
      <c r="E29" s="11" t="str">
        <f aca="false">IF(A29="","",Calculo!$B$10)</f>
        <v/>
      </c>
    </row>
    <row r="30" customFormat="false" ht="15" hidden="false" customHeight="false" outlineLevel="0" collapsed="false">
      <c r="A30" s="0" t="str">
        <f aca="false">IF(29&lt;=Calculo!$B$8,29,"")</f>
        <v/>
      </c>
      <c r="B30" s="11" t="str">
        <f aca="false">IF(A30="","",B29-Calculo!$B$6/Calculo!$B$8)</f>
        <v/>
      </c>
      <c r="C30" s="11" t="str">
        <f aca="false">IF(A30="","",Calculo!$B$6/Calculo!$B$8+B30*Calculo!$B$7/100)</f>
        <v/>
      </c>
      <c r="D30" s="11" t="str">
        <f aca="false">IF(A30="","",D29-(Calculo!$B$10-D29*Calculo!$B$7/100))</f>
        <v/>
      </c>
      <c r="E30" s="11" t="str">
        <f aca="false">IF(A30="","",Calculo!$B$10)</f>
        <v/>
      </c>
    </row>
    <row r="31" customFormat="false" ht="15" hidden="false" customHeight="false" outlineLevel="0" collapsed="false">
      <c r="A31" s="0" t="str">
        <f aca="false">IF(30&lt;=Calculo!$B$8,30,"")</f>
        <v/>
      </c>
      <c r="B31" s="11" t="str">
        <f aca="false">IF(A31="","",B30-Calculo!$B$6/Calculo!$B$8)</f>
        <v/>
      </c>
      <c r="C31" s="11" t="str">
        <f aca="false">IF(A31="","",Calculo!$B$6/Calculo!$B$8+B31*Calculo!$B$7/100)</f>
        <v/>
      </c>
      <c r="D31" s="11" t="str">
        <f aca="false">IF(A31="","",D30-(Calculo!$B$10-D30*Calculo!$B$7/100))</f>
        <v/>
      </c>
      <c r="E31" s="11" t="str">
        <f aca="false">IF(A31="","",Calculo!$B$10)</f>
        <v/>
      </c>
    </row>
    <row r="32" customFormat="false" ht="15" hidden="false" customHeight="false" outlineLevel="0" collapsed="false">
      <c r="A32" s="0" t="str">
        <f aca="false">IF(31&lt;=Calculo!$B$8,31,"")</f>
        <v/>
      </c>
      <c r="B32" s="11" t="str">
        <f aca="false">IF(A32="","",B31-Calculo!$B$6/Calculo!$B$8)</f>
        <v/>
      </c>
      <c r="C32" s="11" t="str">
        <f aca="false">IF(A32="","",Calculo!$B$6/Calculo!$B$8+B32*Calculo!$B$7/100)</f>
        <v/>
      </c>
      <c r="D32" s="11" t="str">
        <f aca="false">IF(A32="","",D31-(Calculo!$B$10-D31*Calculo!$B$7/100))</f>
        <v/>
      </c>
      <c r="E32" s="11" t="str">
        <f aca="false">IF(A32="","",Calculo!$B$10)</f>
        <v/>
      </c>
    </row>
    <row r="33" customFormat="false" ht="15" hidden="false" customHeight="false" outlineLevel="0" collapsed="false">
      <c r="A33" s="0" t="str">
        <f aca="false">IF(32&lt;=Calculo!$B$8,32,"")</f>
        <v/>
      </c>
      <c r="B33" s="11" t="str">
        <f aca="false">IF(A33="","",B32-Calculo!$B$6/Calculo!$B$8)</f>
        <v/>
      </c>
      <c r="C33" s="11" t="str">
        <f aca="false">IF(A33="","",Calculo!$B$6/Calculo!$B$8+B33*Calculo!$B$7/100)</f>
        <v/>
      </c>
      <c r="D33" s="11" t="str">
        <f aca="false">IF(A33="","",D32-(Calculo!$B$10-D32*Calculo!$B$7/100))</f>
        <v/>
      </c>
      <c r="E33" s="11" t="str">
        <f aca="false">IF(A33="","",Calculo!$B$10)</f>
        <v/>
      </c>
    </row>
    <row r="34" customFormat="false" ht="15" hidden="false" customHeight="false" outlineLevel="0" collapsed="false">
      <c r="A34" s="0" t="str">
        <f aca="false">IF(33&lt;=Calculo!$B$8,33,"")</f>
        <v/>
      </c>
      <c r="B34" s="11" t="str">
        <f aca="false">IF(A34="","",B33-Calculo!$B$6/Calculo!$B$8)</f>
        <v/>
      </c>
      <c r="C34" s="11" t="str">
        <f aca="false">IF(A34="","",Calculo!$B$6/Calculo!$B$8+B34*Calculo!$B$7/100)</f>
        <v/>
      </c>
      <c r="D34" s="11" t="str">
        <f aca="false">IF(A34="","",D33-(Calculo!$B$10-D33*Calculo!$B$7/100))</f>
        <v/>
      </c>
      <c r="E34" s="11" t="str">
        <f aca="false">IF(A34="","",Calculo!$B$10)</f>
        <v/>
      </c>
    </row>
    <row r="35" customFormat="false" ht="15" hidden="false" customHeight="false" outlineLevel="0" collapsed="false">
      <c r="A35" s="0" t="str">
        <f aca="false">IF(34&lt;=Calculo!$B$8,34,"")</f>
        <v/>
      </c>
      <c r="B35" s="11" t="str">
        <f aca="false">IF(A35="","",B34-Calculo!$B$6/Calculo!$B$8)</f>
        <v/>
      </c>
      <c r="C35" s="11" t="str">
        <f aca="false">IF(A35="","",Calculo!$B$6/Calculo!$B$8+B35*Calculo!$B$7/100)</f>
        <v/>
      </c>
      <c r="D35" s="11" t="str">
        <f aca="false">IF(A35="","",D34-(Calculo!$B$10-D34*Calculo!$B$7/100))</f>
        <v/>
      </c>
      <c r="E35" s="11" t="str">
        <f aca="false">IF(A35="","",Calculo!$B$10)</f>
        <v/>
      </c>
    </row>
    <row r="36" customFormat="false" ht="15" hidden="false" customHeight="false" outlineLevel="0" collapsed="false">
      <c r="A36" s="0" t="str">
        <f aca="false">IF(35&lt;=Calculo!$B$8,35,"")</f>
        <v/>
      </c>
      <c r="B36" s="11" t="str">
        <f aca="false">IF(A36="","",B35-Calculo!$B$6/Calculo!$B$8)</f>
        <v/>
      </c>
      <c r="C36" s="11" t="str">
        <f aca="false">IF(A36="","",Calculo!$B$6/Calculo!$B$8+B36*Calculo!$B$7/100)</f>
        <v/>
      </c>
      <c r="D36" s="11" t="str">
        <f aca="false">IF(A36="","",D35-(Calculo!$B$10-D35*Calculo!$B$7/100))</f>
        <v/>
      </c>
      <c r="E36" s="11" t="str">
        <f aca="false">IF(A36="","",Calculo!$B$10)</f>
        <v/>
      </c>
    </row>
    <row r="37" customFormat="false" ht="15" hidden="false" customHeight="false" outlineLevel="0" collapsed="false">
      <c r="A37" s="0" t="str">
        <f aca="false">IF(36&lt;=Calculo!$B$8,36,"")</f>
        <v/>
      </c>
      <c r="B37" s="11" t="str">
        <f aca="false">IF(A37="","",B36-Calculo!$B$6/Calculo!$B$8)</f>
        <v/>
      </c>
      <c r="C37" s="11" t="str">
        <f aca="false">IF(A37="","",Calculo!$B$6/Calculo!$B$8+B37*Calculo!$B$7/100)</f>
        <v/>
      </c>
      <c r="D37" s="11" t="str">
        <f aca="false">IF(A37="","",D36-(Calculo!$B$10-D36*Calculo!$B$7/100))</f>
        <v/>
      </c>
      <c r="E37" s="11" t="str">
        <f aca="false">IF(A37="","",Calculo!$B$10)</f>
        <v/>
      </c>
    </row>
    <row r="38" customFormat="false" ht="15" hidden="false" customHeight="false" outlineLevel="0" collapsed="false">
      <c r="A38" s="0" t="str">
        <f aca="false">IF(37&lt;=Calculo!$B$8,37,"")</f>
        <v/>
      </c>
      <c r="B38" s="11" t="str">
        <f aca="false">IF(A38="","",B37-Calculo!$B$6/Calculo!$B$8)</f>
        <v/>
      </c>
      <c r="C38" s="11" t="str">
        <f aca="false">IF(A38="","",Calculo!$B$6/Calculo!$B$8+B38*Calculo!$B$7/100)</f>
        <v/>
      </c>
      <c r="D38" s="11" t="str">
        <f aca="false">IF(A38="","",D37-(Calculo!$B$10-D37*Calculo!$B$7/100))</f>
        <v/>
      </c>
      <c r="E38" s="11" t="str">
        <f aca="false">IF(A38="","",Calculo!$B$10)</f>
        <v/>
      </c>
    </row>
    <row r="39" customFormat="false" ht="15" hidden="false" customHeight="false" outlineLevel="0" collapsed="false">
      <c r="A39" s="0" t="str">
        <f aca="false">IF(38&lt;=Calculo!$B$8,38,"")</f>
        <v/>
      </c>
      <c r="B39" s="11" t="str">
        <f aca="false">IF(A39="","",B38-Calculo!$B$6/Calculo!$B$8)</f>
        <v/>
      </c>
      <c r="C39" s="11" t="str">
        <f aca="false">IF(A39="","",Calculo!$B$6/Calculo!$B$8+B39*Calculo!$B$7/100)</f>
        <v/>
      </c>
      <c r="D39" s="11" t="str">
        <f aca="false">IF(A39="","",D38-(Calculo!$B$10-D38*Calculo!$B$7/100))</f>
        <v/>
      </c>
      <c r="E39" s="11" t="str">
        <f aca="false">IF(A39="","",Calculo!$B$10)</f>
        <v/>
      </c>
    </row>
    <row r="40" customFormat="false" ht="15" hidden="false" customHeight="false" outlineLevel="0" collapsed="false">
      <c r="A40" s="0" t="str">
        <f aca="false">IF(39&lt;=Calculo!$B$8,39,"")</f>
        <v/>
      </c>
      <c r="B40" s="11" t="str">
        <f aca="false">IF(A40="","",B39-Calculo!$B$6/Calculo!$B$8)</f>
        <v/>
      </c>
      <c r="C40" s="11" t="str">
        <f aca="false">IF(A40="","",Calculo!$B$6/Calculo!$B$8+B40*Calculo!$B$7/100)</f>
        <v/>
      </c>
      <c r="D40" s="11" t="str">
        <f aca="false">IF(A40="","",D39-(Calculo!$B$10-D39*Calculo!$B$7/100))</f>
        <v/>
      </c>
      <c r="E40" s="11" t="str">
        <f aca="false">IF(A40="","",Calculo!$B$10)</f>
        <v/>
      </c>
    </row>
    <row r="41" customFormat="false" ht="15" hidden="false" customHeight="false" outlineLevel="0" collapsed="false">
      <c r="A41" s="0" t="str">
        <f aca="false">IF(40&lt;=Calculo!$B$8,40,"")</f>
        <v/>
      </c>
      <c r="B41" s="11" t="str">
        <f aca="false">IF(A41="","",B40-Calculo!$B$6/Calculo!$B$8)</f>
        <v/>
      </c>
      <c r="C41" s="11" t="str">
        <f aca="false">IF(A41="","",Calculo!$B$6/Calculo!$B$8+B41*Calculo!$B$7/100)</f>
        <v/>
      </c>
      <c r="D41" s="11" t="str">
        <f aca="false">IF(A41="","",D40-(Calculo!$B$10-D40*Calculo!$B$7/100))</f>
        <v/>
      </c>
      <c r="E41" s="11" t="str">
        <f aca="false">IF(A41="","",Calculo!$B$10)</f>
        <v/>
      </c>
    </row>
    <row r="42" customFormat="false" ht="15" hidden="false" customHeight="false" outlineLevel="0" collapsed="false">
      <c r="A42" s="0" t="str">
        <f aca="false">IF(41&lt;=Calculo!$B$8,41,"")</f>
        <v/>
      </c>
      <c r="B42" s="11" t="str">
        <f aca="false">IF(A42="","",B41-Calculo!$B$6/Calculo!$B$8)</f>
        <v/>
      </c>
      <c r="C42" s="11" t="str">
        <f aca="false">IF(A42="","",Calculo!$B$6/Calculo!$B$8+B42*Calculo!$B$7/100)</f>
        <v/>
      </c>
      <c r="D42" s="11" t="str">
        <f aca="false">IF(A42="","",D41-(Calculo!$B$10-D41*Calculo!$B$7/100))</f>
        <v/>
      </c>
      <c r="E42" s="11" t="str">
        <f aca="false">IF(A42="","",Calculo!$B$10)</f>
        <v/>
      </c>
    </row>
    <row r="43" customFormat="false" ht="15" hidden="false" customHeight="false" outlineLevel="0" collapsed="false">
      <c r="A43" s="0" t="str">
        <f aca="false">IF(42&lt;=Calculo!$B$8,42,"")</f>
        <v/>
      </c>
      <c r="B43" s="11" t="str">
        <f aca="false">IF(A43="","",B42-Calculo!$B$6/Calculo!$B$8)</f>
        <v/>
      </c>
      <c r="C43" s="11" t="str">
        <f aca="false">IF(A43="","",Calculo!$B$6/Calculo!$B$8+B43*Calculo!$B$7/100)</f>
        <v/>
      </c>
      <c r="D43" s="11" t="str">
        <f aca="false">IF(A43="","",D42-(Calculo!$B$10-D42*Calculo!$B$7/100))</f>
        <v/>
      </c>
      <c r="E43" s="11" t="str">
        <f aca="false">IF(A43="","",Calculo!$B$10)</f>
        <v/>
      </c>
    </row>
    <row r="44" customFormat="false" ht="15" hidden="false" customHeight="false" outlineLevel="0" collapsed="false">
      <c r="A44" s="0" t="str">
        <f aca="false">IF(43&lt;=Calculo!$B$8,43,"")</f>
        <v/>
      </c>
      <c r="B44" s="11" t="str">
        <f aca="false">IF(A44="","",B43-Calculo!$B$6/Calculo!$B$8)</f>
        <v/>
      </c>
      <c r="C44" s="11" t="str">
        <f aca="false">IF(A44="","",Calculo!$B$6/Calculo!$B$8+B44*Calculo!$B$7/100)</f>
        <v/>
      </c>
      <c r="D44" s="11" t="str">
        <f aca="false">IF(A44="","",D43-(Calculo!$B$10-D43*Calculo!$B$7/100))</f>
        <v/>
      </c>
      <c r="E44" s="11" t="str">
        <f aca="false">IF(A44="","",Calculo!$B$10)</f>
        <v/>
      </c>
    </row>
    <row r="45" customFormat="false" ht="15" hidden="false" customHeight="false" outlineLevel="0" collapsed="false">
      <c r="A45" s="0" t="str">
        <f aca="false">IF(44&lt;=Calculo!$B$8,44,"")</f>
        <v/>
      </c>
      <c r="B45" s="11" t="str">
        <f aca="false">IF(A45="","",B44-Calculo!$B$6/Calculo!$B$8)</f>
        <v/>
      </c>
      <c r="C45" s="11" t="str">
        <f aca="false">IF(A45="","",Calculo!$B$6/Calculo!$B$8+B45*Calculo!$B$7/100)</f>
        <v/>
      </c>
      <c r="D45" s="11" t="str">
        <f aca="false">IF(A45="","",D44-(Calculo!$B$10-D44*Calculo!$B$7/100))</f>
        <v/>
      </c>
      <c r="E45" s="11" t="str">
        <f aca="false">IF(A45="","",Calculo!$B$10)</f>
        <v/>
      </c>
    </row>
    <row r="46" customFormat="false" ht="15" hidden="false" customHeight="false" outlineLevel="0" collapsed="false">
      <c r="A46" s="0" t="str">
        <f aca="false">IF(45&lt;=Calculo!$B$8,45,"")</f>
        <v/>
      </c>
      <c r="B46" s="11" t="str">
        <f aca="false">IF(A46="","",B45-Calculo!$B$6/Calculo!$B$8)</f>
        <v/>
      </c>
      <c r="C46" s="11" t="str">
        <f aca="false">IF(A46="","",Calculo!$B$6/Calculo!$B$8+B46*Calculo!$B$7/100)</f>
        <v/>
      </c>
      <c r="D46" s="11" t="str">
        <f aca="false">IF(A46="","",D45-(Calculo!$B$10-D45*Calculo!$B$7/100))</f>
        <v/>
      </c>
      <c r="E46" s="11" t="str">
        <f aca="false">IF(A46="","",Calculo!$B$10)</f>
        <v/>
      </c>
    </row>
    <row r="47" customFormat="false" ht="15" hidden="false" customHeight="false" outlineLevel="0" collapsed="false">
      <c r="A47" s="0" t="str">
        <f aca="false">IF(46&lt;=Calculo!$B$8,46,"")</f>
        <v/>
      </c>
      <c r="B47" s="11" t="str">
        <f aca="false">IF(A47="","",B46-Calculo!$B$6/Calculo!$B$8)</f>
        <v/>
      </c>
      <c r="C47" s="11" t="str">
        <f aca="false">IF(A47="","",Calculo!$B$6/Calculo!$B$8+B47*Calculo!$B$7/100)</f>
        <v/>
      </c>
      <c r="D47" s="11" t="str">
        <f aca="false">IF(A47="","",D46-(Calculo!$B$10-D46*Calculo!$B$7/100))</f>
        <v/>
      </c>
      <c r="E47" s="11" t="str">
        <f aca="false">IF(A47="","",Calculo!$B$10)</f>
        <v/>
      </c>
    </row>
    <row r="48" customFormat="false" ht="15" hidden="false" customHeight="false" outlineLevel="0" collapsed="false">
      <c r="A48" s="0" t="str">
        <f aca="false">IF(47&lt;=Calculo!$B$8,47,"")</f>
        <v/>
      </c>
      <c r="B48" s="11" t="str">
        <f aca="false">IF(A48="","",B47-Calculo!$B$6/Calculo!$B$8)</f>
        <v/>
      </c>
      <c r="C48" s="11" t="str">
        <f aca="false">IF(A48="","",Calculo!$B$6/Calculo!$B$8+B48*Calculo!$B$7/100)</f>
        <v/>
      </c>
      <c r="D48" s="11" t="str">
        <f aca="false">IF(A48="","",D47-(Calculo!$B$10-D47*Calculo!$B$7/100))</f>
        <v/>
      </c>
      <c r="E48" s="11" t="str">
        <f aca="false">IF(A48="","",Calculo!$B$10)</f>
        <v/>
      </c>
    </row>
    <row r="49" customFormat="false" ht="15" hidden="false" customHeight="false" outlineLevel="0" collapsed="false">
      <c r="A49" s="0" t="str">
        <f aca="false">IF(48&lt;=Calculo!$B$8,48,"")</f>
        <v/>
      </c>
      <c r="B49" s="11" t="str">
        <f aca="false">IF(A49="","",B48-Calculo!$B$6/Calculo!$B$8)</f>
        <v/>
      </c>
      <c r="C49" s="11" t="str">
        <f aca="false">IF(A49="","",Calculo!$B$6/Calculo!$B$8+B49*Calculo!$B$7/100)</f>
        <v/>
      </c>
      <c r="D49" s="11" t="str">
        <f aca="false">IF(A49="","",D48-(Calculo!$B$10-D48*Calculo!$B$7/100))</f>
        <v/>
      </c>
      <c r="E49" s="11" t="str">
        <f aca="false">IF(A49="","",Calculo!$B$10)</f>
        <v/>
      </c>
    </row>
    <row r="50" customFormat="false" ht="15" hidden="false" customHeight="false" outlineLevel="0" collapsed="false">
      <c r="A50" s="0" t="str">
        <f aca="false">IF(49&lt;=Calculo!$B$8,49,"")</f>
        <v/>
      </c>
      <c r="B50" s="11" t="str">
        <f aca="false">IF(A50="","",B49-Calculo!$B$6/Calculo!$B$8)</f>
        <v/>
      </c>
      <c r="C50" s="11" t="str">
        <f aca="false">IF(A50="","",Calculo!$B$6/Calculo!$B$8+B50*Calculo!$B$7/100)</f>
        <v/>
      </c>
      <c r="D50" s="11" t="str">
        <f aca="false">IF(A50="","",D49-(Calculo!$B$10-D49*Calculo!$B$7/100))</f>
        <v/>
      </c>
      <c r="E50" s="11" t="str">
        <f aca="false">IF(A50="","",Calculo!$B$10)</f>
        <v/>
      </c>
    </row>
    <row r="51" customFormat="false" ht="15" hidden="false" customHeight="false" outlineLevel="0" collapsed="false">
      <c r="A51" s="0" t="str">
        <f aca="false">IF(50&lt;=Calculo!$B$8,50,"")</f>
        <v/>
      </c>
      <c r="B51" s="11" t="str">
        <f aca="false">IF(A51="","",B50-Calculo!$B$6/Calculo!$B$8)</f>
        <v/>
      </c>
      <c r="C51" s="11" t="str">
        <f aca="false">IF(A51="","",Calculo!$B$6/Calculo!$B$8+B51*Calculo!$B$7/100)</f>
        <v/>
      </c>
      <c r="D51" s="11" t="str">
        <f aca="false">IF(A51="","",D50-(Calculo!$B$10-D50*Calculo!$B$7/100))</f>
        <v/>
      </c>
      <c r="E51" s="11" t="str">
        <f aca="false">IF(A51="","",Calculo!$B$10)</f>
        <v/>
      </c>
    </row>
    <row r="52" customFormat="false" ht="15" hidden="false" customHeight="false" outlineLevel="0" collapsed="false">
      <c r="A52" s="0" t="str">
        <f aca="false">IF(51&lt;=Calculo!$B$8,51,"")</f>
        <v/>
      </c>
      <c r="B52" s="11" t="str">
        <f aca="false">IF(A52="","",B51-Calculo!$B$6/Calculo!$B$8)</f>
        <v/>
      </c>
      <c r="C52" s="11" t="str">
        <f aca="false">IF(A52="","",Calculo!$B$6/Calculo!$B$8+B52*Calculo!$B$7/100)</f>
        <v/>
      </c>
      <c r="D52" s="11" t="str">
        <f aca="false">IF(A52="","",D51-(Calculo!$B$10-D51*Calculo!$B$7/100))</f>
        <v/>
      </c>
      <c r="E52" s="11" t="str">
        <f aca="false">IF(A52="","",Calculo!$B$10)</f>
        <v/>
      </c>
    </row>
    <row r="53" customFormat="false" ht="15" hidden="false" customHeight="false" outlineLevel="0" collapsed="false">
      <c r="A53" s="0" t="str">
        <f aca="false">IF(52&lt;=Calculo!$B$8,52,"")</f>
        <v/>
      </c>
      <c r="B53" s="11" t="str">
        <f aca="false">IF(A53="","",B52-Calculo!$B$6/Calculo!$B$8)</f>
        <v/>
      </c>
      <c r="C53" s="11" t="str">
        <f aca="false">IF(A53="","",Calculo!$B$6/Calculo!$B$8+B53*Calculo!$B$7/100)</f>
        <v/>
      </c>
      <c r="D53" s="11" t="str">
        <f aca="false">IF(A53="","",D52-(Calculo!$B$10-D52*Calculo!$B$7/100))</f>
        <v/>
      </c>
      <c r="E53" s="11" t="str">
        <f aca="false">IF(A53="","",Calculo!$B$10)</f>
        <v/>
      </c>
    </row>
    <row r="54" customFormat="false" ht="15" hidden="false" customHeight="false" outlineLevel="0" collapsed="false">
      <c r="A54" s="0" t="str">
        <f aca="false">IF(53&lt;=Calculo!$B$8,53,"")</f>
        <v/>
      </c>
      <c r="B54" s="11" t="str">
        <f aca="false">IF(A54="","",B53-Calculo!$B$6/Calculo!$B$8)</f>
        <v/>
      </c>
      <c r="C54" s="11" t="str">
        <f aca="false">IF(A54="","",Calculo!$B$6/Calculo!$B$8+B54*Calculo!$B$7/100)</f>
        <v/>
      </c>
      <c r="D54" s="11" t="str">
        <f aca="false">IF(A54="","",D53-(Calculo!$B$10-D53*Calculo!$B$7/100))</f>
        <v/>
      </c>
      <c r="E54" s="11" t="str">
        <f aca="false">IF(A54="","",Calculo!$B$10)</f>
        <v/>
      </c>
    </row>
    <row r="55" customFormat="false" ht="15" hidden="false" customHeight="false" outlineLevel="0" collapsed="false">
      <c r="A55" s="0" t="str">
        <f aca="false">IF(54&lt;=Calculo!$B$8,54,"")</f>
        <v/>
      </c>
      <c r="B55" s="11" t="str">
        <f aca="false">IF(A55="","",B54-Calculo!$B$6/Calculo!$B$8)</f>
        <v/>
      </c>
      <c r="C55" s="11" t="str">
        <f aca="false">IF(A55="","",Calculo!$B$6/Calculo!$B$8+B55*Calculo!$B$7/100)</f>
        <v/>
      </c>
      <c r="D55" s="11" t="str">
        <f aca="false">IF(A55="","",D54-(Calculo!$B$10-D54*Calculo!$B$7/100))</f>
        <v/>
      </c>
      <c r="E55" s="11" t="str">
        <f aca="false">IF(A55="","",Calculo!$B$10)</f>
        <v/>
      </c>
    </row>
    <row r="56" customFormat="false" ht="15" hidden="false" customHeight="false" outlineLevel="0" collapsed="false">
      <c r="A56" s="0" t="str">
        <f aca="false">IF(55&lt;=Calculo!$B$8,55,"")</f>
        <v/>
      </c>
      <c r="B56" s="11" t="str">
        <f aca="false">IF(A56="","",B55-Calculo!$B$6/Calculo!$B$8)</f>
        <v/>
      </c>
      <c r="C56" s="11" t="str">
        <f aca="false">IF(A56="","",Calculo!$B$6/Calculo!$B$8+B56*Calculo!$B$7/100)</f>
        <v/>
      </c>
      <c r="D56" s="11" t="str">
        <f aca="false">IF(A56="","",D55-(Calculo!$B$10-D55*Calculo!$B$7/100))</f>
        <v/>
      </c>
      <c r="E56" s="11" t="str">
        <f aca="false">IF(A56="","",Calculo!$B$10)</f>
        <v/>
      </c>
    </row>
    <row r="57" customFormat="false" ht="15" hidden="false" customHeight="false" outlineLevel="0" collapsed="false">
      <c r="A57" s="0" t="str">
        <f aca="false">IF(56&lt;=Calculo!$B$8,56,"")</f>
        <v/>
      </c>
      <c r="B57" s="11" t="str">
        <f aca="false">IF(A57="","",B56-Calculo!$B$6/Calculo!$B$8)</f>
        <v/>
      </c>
      <c r="C57" s="11" t="str">
        <f aca="false">IF(A57="","",Calculo!$B$6/Calculo!$B$8+B57*Calculo!$B$7/100)</f>
        <v/>
      </c>
      <c r="D57" s="11" t="str">
        <f aca="false">IF(A57="","",D56-(Calculo!$B$10-D56*Calculo!$B$7/100))</f>
        <v/>
      </c>
      <c r="E57" s="11" t="str">
        <f aca="false">IF(A57="","",Calculo!$B$10)</f>
        <v/>
      </c>
    </row>
    <row r="58" customFormat="false" ht="15" hidden="false" customHeight="false" outlineLevel="0" collapsed="false">
      <c r="A58" s="0" t="str">
        <f aca="false">IF(57&lt;=Calculo!$B$8,57,"")</f>
        <v/>
      </c>
      <c r="B58" s="11" t="str">
        <f aca="false">IF(A58="","",B57-Calculo!$B$6/Calculo!$B$8)</f>
        <v/>
      </c>
      <c r="C58" s="11" t="str">
        <f aca="false">IF(A58="","",Calculo!$B$6/Calculo!$B$8+B58*Calculo!$B$7/100)</f>
        <v/>
      </c>
      <c r="D58" s="11" t="str">
        <f aca="false">IF(A58="","",D57-(Calculo!$B$10-D57*Calculo!$B$7/100))</f>
        <v/>
      </c>
      <c r="E58" s="11" t="str">
        <f aca="false">IF(A58="","",Calculo!$B$10)</f>
        <v/>
      </c>
    </row>
    <row r="59" customFormat="false" ht="15" hidden="false" customHeight="false" outlineLevel="0" collapsed="false">
      <c r="A59" s="0" t="str">
        <f aca="false">IF(58&lt;=Calculo!$B$8,58,"")</f>
        <v/>
      </c>
      <c r="B59" s="11" t="str">
        <f aca="false">IF(A59="","",B58-Calculo!$B$6/Calculo!$B$8)</f>
        <v/>
      </c>
      <c r="C59" s="11" t="str">
        <f aca="false">IF(A59="","",Calculo!$B$6/Calculo!$B$8+B59*Calculo!$B$7/100)</f>
        <v/>
      </c>
      <c r="D59" s="11" t="str">
        <f aca="false">IF(A59="","",D58-(Calculo!$B$10-D58*Calculo!$B$7/100))</f>
        <v/>
      </c>
      <c r="E59" s="11" t="str">
        <f aca="false">IF(A59="","",Calculo!$B$10)</f>
        <v/>
      </c>
    </row>
    <row r="60" customFormat="false" ht="15" hidden="false" customHeight="false" outlineLevel="0" collapsed="false">
      <c r="A60" s="0" t="str">
        <f aca="false">IF(59&lt;=Calculo!$B$8,59,"")</f>
        <v/>
      </c>
      <c r="B60" s="11" t="str">
        <f aca="false">IF(A60="","",B59-Calculo!$B$6/Calculo!$B$8)</f>
        <v/>
      </c>
      <c r="C60" s="11" t="str">
        <f aca="false">IF(A60="","",Calculo!$B$6/Calculo!$B$8+B60*Calculo!$B$7/100)</f>
        <v/>
      </c>
      <c r="D60" s="11" t="str">
        <f aca="false">IF(A60="","",D59-(Calculo!$B$10-D59*Calculo!$B$7/100))</f>
        <v/>
      </c>
      <c r="E60" s="11" t="str">
        <f aca="false">IF(A60="","",Calculo!$B$10)</f>
        <v/>
      </c>
    </row>
    <row r="61" customFormat="false" ht="15" hidden="false" customHeight="false" outlineLevel="0" collapsed="false">
      <c r="A61" s="0" t="str">
        <f aca="false">IF(60&lt;=Calculo!$B$8,60,"")</f>
        <v/>
      </c>
      <c r="B61" s="11" t="str">
        <f aca="false">IF(A61="","",B60-Calculo!$B$6/Calculo!$B$8)</f>
        <v/>
      </c>
      <c r="C61" s="11" t="str">
        <f aca="false">IF(A61="","",Calculo!$B$6/Calculo!$B$8+B61*Calculo!$B$7/100)</f>
        <v/>
      </c>
      <c r="D61" s="11" t="str">
        <f aca="false">IF(A61="","",D60-(Calculo!$B$10-D60*Calculo!$B$7/100))</f>
        <v/>
      </c>
      <c r="E61" s="11" t="str">
        <f aca="false">IF(A61="","",Calculo!$B$10)</f>
        <v/>
      </c>
    </row>
    <row r="62" customFormat="false" ht="15" hidden="false" customHeight="false" outlineLevel="0" collapsed="false">
      <c r="A62" s="0" t="str">
        <f aca="false">IF(61&lt;=Calculo!$B$8,61,"")</f>
        <v/>
      </c>
      <c r="B62" s="11" t="str">
        <f aca="false">IF(A62="","",B61-Calculo!$B$6/Calculo!$B$8)</f>
        <v/>
      </c>
      <c r="C62" s="11" t="str">
        <f aca="false">IF(A62="","",Calculo!$B$6/Calculo!$B$8+B62*Calculo!$B$7/100)</f>
        <v/>
      </c>
      <c r="D62" s="11" t="str">
        <f aca="false">IF(A62="","",D61-(Calculo!$B$10-D61*Calculo!$B$7/100))</f>
        <v/>
      </c>
      <c r="E62" s="11" t="str">
        <f aca="false">IF(A62="","",Calculo!$B$10)</f>
        <v/>
      </c>
    </row>
    <row r="63" customFormat="false" ht="15" hidden="false" customHeight="false" outlineLevel="0" collapsed="false">
      <c r="A63" s="0" t="str">
        <f aca="false">IF(62&lt;=Calculo!$B$8,62,"")</f>
        <v/>
      </c>
      <c r="B63" s="11" t="str">
        <f aca="false">IF(A63="","",B62-Calculo!$B$6/Calculo!$B$8)</f>
        <v/>
      </c>
      <c r="C63" s="11" t="str">
        <f aca="false">IF(A63="","",Calculo!$B$6/Calculo!$B$8+B63*Calculo!$B$7/100)</f>
        <v/>
      </c>
      <c r="D63" s="11" t="str">
        <f aca="false">IF(A63="","",D62-(Calculo!$B$10-D62*Calculo!$B$7/100))</f>
        <v/>
      </c>
      <c r="E63" s="11" t="str">
        <f aca="false">IF(A63="","",Calculo!$B$10)</f>
        <v/>
      </c>
    </row>
    <row r="64" customFormat="false" ht="15" hidden="false" customHeight="false" outlineLevel="0" collapsed="false">
      <c r="A64" s="0" t="str">
        <f aca="false">IF(63&lt;=Calculo!$B$8,63,"")</f>
        <v/>
      </c>
      <c r="B64" s="11" t="str">
        <f aca="false">IF(A64="","",B63-Calculo!$B$6/Calculo!$B$8)</f>
        <v/>
      </c>
      <c r="C64" s="11" t="str">
        <f aca="false">IF(A64="","",Calculo!$B$6/Calculo!$B$8+B64*Calculo!$B$7/100)</f>
        <v/>
      </c>
      <c r="D64" s="11" t="str">
        <f aca="false">IF(A64="","",D63-(Calculo!$B$10-D63*Calculo!$B$7/100))</f>
        <v/>
      </c>
      <c r="E64" s="11" t="str">
        <f aca="false">IF(A64="","",Calculo!$B$10)</f>
        <v/>
      </c>
    </row>
    <row r="65" customFormat="false" ht="15" hidden="false" customHeight="false" outlineLevel="0" collapsed="false">
      <c r="A65" s="0" t="str">
        <f aca="false">IF(64&lt;=Calculo!$B$8,64,"")</f>
        <v/>
      </c>
      <c r="B65" s="11" t="str">
        <f aca="false">IF(A65="","",B64-Calculo!$B$6/Calculo!$B$8)</f>
        <v/>
      </c>
      <c r="C65" s="11" t="str">
        <f aca="false">IF(A65="","",Calculo!$B$6/Calculo!$B$8+B65*Calculo!$B$7/100)</f>
        <v/>
      </c>
      <c r="D65" s="11" t="str">
        <f aca="false">IF(A65="","",D64-(Calculo!$B$10-D64*Calculo!$B$7/100))</f>
        <v/>
      </c>
      <c r="E65" s="11" t="str">
        <f aca="false">IF(A65="","",Calculo!$B$10)</f>
        <v/>
      </c>
    </row>
    <row r="66" customFormat="false" ht="15" hidden="false" customHeight="false" outlineLevel="0" collapsed="false">
      <c r="A66" s="0" t="str">
        <f aca="false">IF(65&lt;=Calculo!$B$8,65,"")</f>
        <v/>
      </c>
      <c r="B66" s="11" t="str">
        <f aca="false">IF(A66="","",B65-Calculo!$B$6/Calculo!$B$8)</f>
        <v/>
      </c>
      <c r="C66" s="11" t="str">
        <f aca="false">IF(A66="","",Calculo!$B$6/Calculo!$B$8+B66*Calculo!$B$7/100)</f>
        <v/>
      </c>
      <c r="D66" s="11" t="str">
        <f aca="false">IF(A66="","",D65-(Calculo!$B$10-D65*Calculo!$B$7/100))</f>
        <v/>
      </c>
      <c r="E66" s="11" t="str">
        <f aca="false">IF(A66="","",Calculo!$B$10)</f>
        <v/>
      </c>
    </row>
    <row r="67" customFormat="false" ht="15" hidden="false" customHeight="false" outlineLevel="0" collapsed="false">
      <c r="A67" s="0" t="str">
        <f aca="false">IF(66&lt;=Calculo!$B$8,66,"")</f>
        <v/>
      </c>
      <c r="B67" s="11" t="str">
        <f aca="false">IF(A67="","",B66-Calculo!$B$6/Calculo!$B$8)</f>
        <v/>
      </c>
      <c r="C67" s="11" t="str">
        <f aca="false">IF(A67="","",Calculo!$B$6/Calculo!$B$8+B67*Calculo!$B$7/100)</f>
        <v/>
      </c>
      <c r="D67" s="11" t="str">
        <f aca="false">IF(A67="","",D66-(Calculo!$B$10-D66*Calculo!$B$7/100))</f>
        <v/>
      </c>
      <c r="E67" s="11" t="str">
        <f aca="false">IF(A67="","",Calculo!$B$10)</f>
        <v/>
      </c>
    </row>
    <row r="68" customFormat="false" ht="15" hidden="false" customHeight="false" outlineLevel="0" collapsed="false">
      <c r="A68" s="0" t="str">
        <f aca="false">IF(67&lt;=Calculo!$B$8,67,"")</f>
        <v/>
      </c>
      <c r="B68" s="11" t="str">
        <f aca="false">IF(A68="","",B67-Calculo!$B$6/Calculo!$B$8)</f>
        <v/>
      </c>
      <c r="C68" s="11" t="str">
        <f aca="false">IF(A68="","",Calculo!$B$6/Calculo!$B$8+B68*Calculo!$B$7/100)</f>
        <v/>
      </c>
      <c r="D68" s="11" t="str">
        <f aca="false">IF(A68="","",D67-(Calculo!$B$10-D67*Calculo!$B$7/100))</f>
        <v/>
      </c>
      <c r="E68" s="11" t="str">
        <f aca="false">IF(A68="","",Calculo!$B$10)</f>
        <v/>
      </c>
    </row>
    <row r="69" customFormat="false" ht="15" hidden="false" customHeight="false" outlineLevel="0" collapsed="false">
      <c r="A69" s="0" t="str">
        <f aca="false">IF(68&lt;=Calculo!$B$8,68,"")</f>
        <v/>
      </c>
      <c r="B69" s="11" t="str">
        <f aca="false">IF(A69="","",B68-Calculo!$B$6/Calculo!$B$8)</f>
        <v/>
      </c>
      <c r="C69" s="11" t="str">
        <f aca="false">IF(A69="","",Calculo!$B$6/Calculo!$B$8+B69*Calculo!$B$7/100)</f>
        <v/>
      </c>
      <c r="D69" s="11" t="str">
        <f aca="false">IF(A69="","",D68-(Calculo!$B$10-D68*Calculo!$B$7/100))</f>
        <v/>
      </c>
      <c r="E69" s="11" t="str">
        <f aca="false">IF(A69="","",Calculo!$B$10)</f>
        <v/>
      </c>
    </row>
    <row r="70" customFormat="false" ht="15" hidden="false" customHeight="false" outlineLevel="0" collapsed="false">
      <c r="A70" s="0" t="str">
        <f aca="false">IF(69&lt;=Calculo!$B$8,69,"")</f>
        <v/>
      </c>
      <c r="B70" s="11" t="str">
        <f aca="false">IF(A70="","",B69-Calculo!$B$6/Calculo!$B$8)</f>
        <v/>
      </c>
      <c r="C70" s="11" t="str">
        <f aca="false">IF(A70="","",Calculo!$B$6/Calculo!$B$8+B70*Calculo!$B$7/100)</f>
        <v/>
      </c>
      <c r="D70" s="11" t="str">
        <f aca="false">IF(A70="","",D69-(Calculo!$B$10-D69*Calculo!$B$7/100))</f>
        <v/>
      </c>
      <c r="E70" s="11" t="str">
        <f aca="false">IF(A70="","",Calculo!$B$10)</f>
        <v/>
      </c>
    </row>
    <row r="71" customFormat="false" ht="15" hidden="false" customHeight="false" outlineLevel="0" collapsed="false">
      <c r="A71" s="0" t="str">
        <f aca="false">IF(70&lt;=Calculo!$B$8,70,"")</f>
        <v/>
      </c>
      <c r="B71" s="11" t="str">
        <f aca="false">IF(A71="","",B70-Calculo!$B$6/Calculo!$B$8)</f>
        <v/>
      </c>
      <c r="C71" s="11" t="str">
        <f aca="false">IF(A71="","",Calculo!$B$6/Calculo!$B$8+B71*Calculo!$B$7/100)</f>
        <v/>
      </c>
      <c r="D71" s="11" t="str">
        <f aca="false">IF(A71="","",D70-(Calculo!$B$10-D70*Calculo!$B$7/100))</f>
        <v/>
      </c>
      <c r="E71" s="11" t="str">
        <f aca="false">IF(A71="","",Calculo!$B$10)</f>
        <v/>
      </c>
    </row>
    <row r="72" customFormat="false" ht="15" hidden="false" customHeight="false" outlineLevel="0" collapsed="false">
      <c r="A72" s="0" t="str">
        <f aca="false">IF(71&lt;=Calculo!$B$8,71,"")</f>
        <v/>
      </c>
      <c r="B72" s="11" t="str">
        <f aca="false">IF(A72="","",B71-Calculo!$B$6/Calculo!$B$8)</f>
        <v/>
      </c>
      <c r="C72" s="11" t="str">
        <f aca="false">IF(A72="","",Calculo!$B$6/Calculo!$B$8+B72*Calculo!$B$7/100)</f>
        <v/>
      </c>
      <c r="D72" s="11" t="str">
        <f aca="false">IF(A72="","",D71-(Calculo!$B$10-D71*Calculo!$B$7/100))</f>
        <v/>
      </c>
      <c r="E72" s="11" t="str">
        <f aca="false">IF(A72="","",Calculo!$B$10)</f>
        <v/>
      </c>
    </row>
    <row r="73" customFormat="false" ht="15" hidden="false" customHeight="false" outlineLevel="0" collapsed="false">
      <c r="A73" s="0" t="str">
        <f aca="false">IF(72&lt;=Calculo!$B$8,72,"")</f>
        <v/>
      </c>
      <c r="B73" s="11" t="str">
        <f aca="false">IF(A73="","",B72-Calculo!$B$6/Calculo!$B$8)</f>
        <v/>
      </c>
      <c r="C73" s="11" t="str">
        <f aca="false">IF(A73="","",Calculo!$B$6/Calculo!$B$8+B73*Calculo!$B$7/100)</f>
        <v/>
      </c>
      <c r="D73" s="11" t="str">
        <f aca="false">IF(A73="","",D72-(Calculo!$B$10-D72*Calculo!$B$7/100))</f>
        <v/>
      </c>
      <c r="E73" s="11" t="str">
        <f aca="false">IF(A73="","",Calculo!$B$10)</f>
        <v/>
      </c>
    </row>
    <row r="74" customFormat="false" ht="15" hidden="false" customHeight="false" outlineLevel="0" collapsed="false">
      <c r="A74" s="0" t="str">
        <f aca="false">IF(73&lt;=Calculo!$B$8,73,"")</f>
        <v/>
      </c>
      <c r="B74" s="11" t="str">
        <f aca="false">IF(A74="","",B73-Calculo!$B$6/Calculo!$B$8)</f>
        <v/>
      </c>
      <c r="C74" s="11" t="str">
        <f aca="false">IF(A74="","",Calculo!$B$6/Calculo!$B$8+B74*Calculo!$B$7/100)</f>
        <v/>
      </c>
      <c r="D74" s="11" t="str">
        <f aca="false">IF(A74="","",D73-(Calculo!$B$10-D73*Calculo!$B$7/100))</f>
        <v/>
      </c>
      <c r="E74" s="11" t="str">
        <f aca="false">IF(A74="","",Calculo!$B$10)</f>
        <v/>
      </c>
    </row>
    <row r="75" customFormat="false" ht="15" hidden="false" customHeight="false" outlineLevel="0" collapsed="false">
      <c r="A75" s="0" t="str">
        <f aca="false">IF(74&lt;=Calculo!$B$8,74,"")</f>
        <v/>
      </c>
      <c r="B75" s="11" t="str">
        <f aca="false">IF(A75="","",B74-Calculo!$B$6/Calculo!$B$8)</f>
        <v/>
      </c>
      <c r="C75" s="11" t="str">
        <f aca="false">IF(A75="","",Calculo!$B$6/Calculo!$B$8+B75*Calculo!$B$7/100)</f>
        <v/>
      </c>
      <c r="D75" s="11" t="str">
        <f aca="false">IF(A75="","",D74-(Calculo!$B$10-D74*Calculo!$B$7/100))</f>
        <v/>
      </c>
      <c r="E75" s="11" t="str">
        <f aca="false">IF(A75="","",Calculo!$B$10)</f>
        <v/>
      </c>
    </row>
    <row r="76" customFormat="false" ht="15" hidden="false" customHeight="false" outlineLevel="0" collapsed="false">
      <c r="A76" s="0" t="str">
        <f aca="false">IF(75&lt;=Calculo!$B$8,75,"")</f>
        <v/>
      </c>
      <c r="B76" s="11" t="str">
        <f aca="false">IF(A76="","",B75-Calculo!$B$6/Calculo!$B$8)</f>
        <v/>
      </c>
      <c r="C76" s="11" t="str">
        <f aca="false">IF(A76="","",Calculo!$B$6/Calculo!$B$8+B76*Calculo!$B$7/100)</f>
        <v/>
      </c>
      <c r="D76" s="11" t="str">
        <f aca="false">IF(A76="","",D75-(Calculo!$B$10-D75*Calculo!$B$7/100))</f>
        <v/>
      </c>
      <c r="E76" s="11" t="str">
        <f aca="false">IF(A76="","",Calculo!$B$10)</f>
        <v/>
      </c>
    </row>
    <row r="77" customFormat="false" ht="15" hidden="false" customHeight="false" outlineLevel="0" collapsed="false">
      <c r="A77" s="0" t="str">
        <f aca="false">IF(76&lt;=Calculo!$B$8,76,"")</f>
        <v/>
      </c>
      <c r="B77" s="11" t="str">
        <f aca="false">IF(A77="","",B76-Calculo!$B$6/Calculo!$B$8)</f>
        <v/>
      </c>
      <c r="C77" s="11" t="str">
        <f aca="false">IF(A77="","",Calculo!$B$6/Calculo!$B$8+B77*Calculo!$B$7/100)</f>
        <v/>
      </c>
      <c r="D77" s="11" t="str">
        <f aca="false">IF(A77="","",D76-(Calculo!$B$10-D76*Calculo!$B$7/100))</f>
        <v/>
      </c>
      <c r="E77" s="11" t="str">
        <f aca="false">IF(A77="","",Calculo!$B$10)</f>
        <v/>
      </c>
    </row>
    <row r="78" customFormat="false" ht="15" hidden="false" customHeight="false" outlineLevel="0" collapsed="false">
      <c r="A78" s="0" t="str">
        <f aca="false">IF(77&lt;=Calculo!$B$8,77,"")</f>
        <v/>
      </c>
      <c r="B78" s="11" t="str">
        <f aca="false">IF(A78="","",B77-Calculo!$B$6/Calculo!$B$8)</f>
        <v/>
      </c>
      <c r="C78" s="11" t="str">
        <f aca="false">IF(A78="","",Calculo!$B$6/Calculo!$B$8+B78*Calculo!$B$7/100)</f>
        <v/>
      </c>
      <c r="D78" s="11" t="str">
        <f aca="false">IF(A78="","",D77-(Calculo!$B$10-D77*Calculo!$B$7/100))</f>
        <v/>
      </c>
      <c r="E78" s="11" t="str">
        <f aca="false">IF(A78="","",Calculo!$B$10)</f>
        <v/>
      </c>
    </row>
    <row r="79" customFormat="false" ht="15" hidden="false" customHeight="false" outlineLevel="0" collapsed="false">
      <c r="A79" s="0" t="str">
        <f aca="false">IF(78&lt;=Calculo!$B$8,78,"")</f>
        <v/>
      </c>
      <c r="B79" s="11" t="str">
        <f aca="false">IF(A79="","",B78-Calculo!$B$6/Calculo!$B$8)</f>
        <v/>
      </c>
      <c r="C79" s="11" t="str">
        <f aca="false">IF(A79="","",Calculo!$B$6/Calculo!$B$8+B79*Calculo!$B$7/100)</f>
        <v/>
      </c>
      <c r="D79" s="11" t="str">
        <f aca="false">IF(A79="","",D78-(Calculo!$B$10-D78*Calculo!$B$7/100))</f>
        <v/>
      </c>
      <c r="E79" s="11" t="str">
        <f aca="false">IF(A79="","",Calculo!$B$10)</f>
        <v/>
      </c>
    </row>
    <row r="80" customFormat="false" ht="15" hidden="false" customHeight="false" outlineLevel="0" collapsed="false">
      <c r="A80" s="0" t="str">
        <f aca="false">IF(79&lt;=Calculo!$B$8,79,"")</f>
        <v/>
      </c>
      <c r="B80" s="11" t="str">
        <f aca="false">IF(A80="","",B79-Calculo!$B$6/Calculo!$B$8)</f>
        <v/>
      </c>
      <c r="C80" s="11" t="str">
        <f aca="false">IF(A80="","",Calculo!$B$6/Calculo!$B$8+B80*Calculo!$B$7/100)</f>
        <v/>
      </c>
      <c r="D80" s="11" t="str">
        <f aca="false">IF(A80="","",D79-(Calculo!$B$10-D79*Calculo!$B$7/100))</f>
        <v/>
      </c>
      <c r="E80" s="11" t="str">
        <f aca="false">IF(A80="","",Calculo!$B$10)</f>
        <v/>
      </c>
    </row>
    <row r="81" customFormat="false" ht="15" hidden="false" customHeight="false" outlineLevel="0" collapsed="false">
      <c r="A81" s="0" t="str">
        <f aca="false">IF(80&lt;=Calculo!$B$8,80,"")</f>
        <v/>
      </c>
      <c r="B81" s="11" t="str">
        <f aca="false">IF(A81="","",B80-Calculo!$B$6/Calculo!$B$8)</f>
        <v/>
      </c>
      <c r="C81" s="11" t="str">
        <f aca="false">IF(A81="","",Calculo!$B$6/Calculo!$B$8+B81*Calculo!$B$7/100)</f>
        <v/>
      </c>
      <c r="D81" s="11" t="str">
        <f aca="false">IF(A81="","",D80-(Calculo!$B$10-D80*Calculo!$B$7/100))</f>
        <v/>
      </c>
      <c r="E81" s="11" t="str">
        <f aca="false">IF(A81="","",Calculo!$B$10)</f>
        <v/>
      </c>
    </row>
    <row r="82" customFormat="false" ht="15" hidden="false" customHeight="false" outlineLevel="0" collapsed="false">
      <c r="A82" s="0" t="str">
        <f aca="false">IF(81&lt;=Calculo!$B$8,81,"")</f>
        <v/>
      </c>
      <c r="B82" s="11" t="str">
        <f aca="false">IF(A82="","",B81-Calculo!$B$6/Calculo!$B$8)</f>
        <v/>
      </c>
      <c r="C82" s="11" t="str">
        <f aca="false">IF(A82="","",Calculo!$B$6/Calculo!$B$8+B82*Calculo!$B$7/100)</f>
        <v/>
      </c>
      <c r="D82" s="11" t="str">
        <f aca="false">IF(A82="","",D81-(Calculo!$B$10-D81*Calculo!$B$7/100))</f>
        <v/>
      </c>
      <c r="E82" s="11" t="str">
        <f aca="false">IF(A82="","",Calculo!$B$10)</f>
        <v/>
      </c>
    </row>
    <row r="83" customFormat="false" ht="15" hidden="false" customHeight="false" outlineLevel="0" collapsed="false">
      <c r="A83" s="0" t="str">
        <f aca="false">IF(82&lt;=Calculo!$B$8,82,"")</f>
        <v/>
      </c>
      <c r="B83" s="11" t="str">
        <f aca="false">IF(A83="","",B82-Calculo!$B$6/Calculo!$B$8)</f>
        <v/>
      </c>
      <c r="C83" s="11" t="str">
        <f aca="false">IF(A83="","",Calculo!$B$6/Calculo!$B$8+B83*Calculo!$B$7/100)</f>
        <v/>
      </c>
      <c r="D83" s="11" t="str">
        <f aca="false">IF(A83="","",D82-(Calculo!$B$10-D82*Calculo!$B$7/100))</f>
        <v/>
      </c>
      <c r="E83" s="11" t="str">
        <f aca="false">IF(A83="","",Calculo!$B$10)</f>
        <v/>
      </c>
    </row>
    <row r="84" customFormat="false" ht="15" hidden="false" customHeight="false" outlineLevel="0" collapsed="false">
      <c r="A84" s="0" t="str">
        <f aca="false">IF(83&lt;=Calculo!$B$8,83,"")</f>
        <v/>
      </c>
      <c r="B84" s="11" t="str">
        <f aca="false">IF(A84="","",B83-Calculo!$B$6/Calculo!$B$8)</f>
        <v/>
      </c>
      <c r="C84" s="11" t="str">
        <f aca="false">IF(A84="","",Calculo!$B$6/Calculo!$B$8+B84*Calculo!$B$7/100)</f>
        <v/>
      </c>
      <c r="D84" s="11" t="str">
        <f aca="false">IF(A84="","",D83-(Calculo!$B$10-D83*Calculo!$B$7/100))</f>
        <v/>
      </c>
      <c r="E84" s="11" t="str">
        <f aca="false">IF(A84="","",Calculo!$B$10)</f>
        <v/>
      </c>
    </row>
    <row r="85" customFormat="false" ht="15" hidden="false" customHeight="false" outlineLevel="0" collapsed="false">
      <c r="A85" s="0" t="str">
        <f aca="false">IF(84&lt;=Calculo!$B$8,84,"")</f>
        <v/>
      </c>
      <c r="B85" s="11" t="str">
        <f aca="false">IF(A85="","",B84-Calculo!$B$6/Calculo!$B$8)</f>
        <v/>
      </c>
      <c r="C85" s="11" t="str">
        <f aca="false">IF(A85="","",Calculo!$B$6/Calculo!$B$8+B85*Calculo!$B$7/100)</f>
        <v/>
      </c>
      <c r="D85" s="11" t="str">
        <f aca="false">IF(A85="","",D84-(Calculo!$B$10-D84*Calculo!$B$7/100))</f>
        <v/>
      </c>
      <c r="E85" s="11" t="str">
        <f aca="false">IF(A85="","",Calculo!$B$10)</f>
        <v/>
      </c>
    </row>
    <row r="86" customFormat="false" ht="15" hidden="false" customHeight="false" outlineLevel="0" collapsed="false">
      <c r="A86" s="0" t="str">
        <f aca="false">IF(85&lt;=Calculo!$B$8,85,"")</f>
        <v/>
      </c>
      <c r="B86" s="11" t="str">
        <f aca="false">IF(A86="","",B85-Calculo!$B$6/Calculo!$B$8)</f>
        <v/>
      </c>
      <c r="C86" s="11" t="str">
        <f aca="false">IF(A86="","",Calculo!$B$6/Calculo!$B$8+B86*Calculo!$B$7/100)</f>
        <v/>
      </c>
      <c r="D86" s="11" t="str">
        <f aca="false">IF(A86="","",D85-(Calculo!$B$10-D85*Calculo!$B$7/100))</f>
        <v/>
      </c>
      <c r="E86" s="11" t="str">
        <f aca="false">IF(A86="","",Calculo!$B$10)</f>
        <v/>
      </c>
    </row>
    <row r="87" customFormat="false" ht="15" hidden="false" customHeight="false" outlineLevel="0" collapsed="false">
      <c r="A87" s="0" t="str">
        <f aca="false">IF(86&lt;=Calculo!$B$8,86,"")</f>
        <v/>
      </c>
      <c r="B87" s="11" t="str">
        <f aca="false">IF(A87="","",B86-Calculo!$B$6/Calculo!$B$8)</f>
        <v/>
      </c>
      <c r="C87" s="11" t="str">
        <f aca="false">IF(A87="","",Calculo!$B$6/Calculo!$B$8+B87*Calculo!$B$7/100)</f>
        <v/>
      </c>
      <c r="D87" s="11" t="str">
        <f aca="false">IF(A87="","",D86-(Calculo!$B$10-D86*Calculo!$B$7/100))</f>
        <v/>
      </c>
      <c r="E87" s="11" t="str">
        <f aca="false">IF(A87="","",Calculo!$B$10)</f>
        <v/>
      </c>
    </row>
    <row r="88" customFormat="false" ht="15" hidden="false" customHeight="false" outlineLevel="0" collapsed="false">
      <c r="A88" s="0" t="str">
        <f aca="false">IF(87&lt;=Calculo!$B$8,87,"")</f>
        <v/>
      </c>
      <c r="B88" s="11" t="str">
        <f aca="false">IF(A88="","",B87-Calculo!$B$6/Calculo!$B$8)</f>
        <v/>
      </c>
      <c r="C88" s="11" t="str">
        <f aca="false">IF(A88="","",Calculo!$B$6/Calculo!$B$8+B88*Calculo!$B$7/100)</f>
        <v/>
      </c>
      <c r="D88" s="11" t="str">
        <f aca="false">IF(A88="","",D87-(Calculo!$B$10-D87*Calculo!$B$7/100))</f>
        <v/>
      </c>
      <c r="E88" s="11" t="str">
        <f aca="false">IF(A88="","",Calculo!$B$10)</f>
        <v/>
      </c>
    </row>
    <row r="89" customFormat="false" ht="15" hidden="false" customHeight="false" outlineLevel="0" collapsed="false">
      <c r="A89" s="0" t="str">
        <f aca="false">IF(88&lt;=Calculo!$B$8,88,"")</f>
        <v/>
      </c>
      <c r="B89" s="11" t="str">
        <f aca="false">IF(A89="","",B88-Calculo!$B$6/Calculo!$B$8)</f>
        <v/>
      </c>
      <c r="C89" s="11" t="str">
        <f aca="false">IF(A89="","",Calculo!$B$6/Calculo!$B$8+B89*Calculo!$B$7/100)</f>
        <v/>
      </c>
      <c r="D89" s="11" t="str">
        <f aca="false">IF(A89="","",D88-(Calculo!$B$10-D88*Calculo!$B$7/100))</f>
        <v/>
      </c>
      <c r="E89" s="11" t="str">
        <f aca="false">IF(A89="","",Calculo!$B$10)</f>
        <v/>
      </c>
    </row>
    <row r="90" customFormat="false" ht="15" hidden="false" customHeight="false" outlineLevel="0" collapsed="false">
      <c r="A90" s="0" t="str">
        <f aca="false">IF(89&lt;=Calculo!$B$8,89,"")</f>
        <v/>
      </c>
      <c r="B90" s="11" t="str">
        <f aca="false">IF(A90="","",B89-Calculo!$B$6/Calculo!$B$8)</f>
        <v/>
      </c>
      <c r="C90" s="11" t="str">
        <f aca="false">IF(A90="","",Calculo!$B$6/Calculo!$B$8+B90*Calculo!$B$7/100)</f>
        <v/>
      </c>
      <c r="D90" s="11" t="str">
        <f aca="false">IF(A90="","",D89-(Calculo!$B$10-D89*Calculo!$B$7/100))</f>
        <v/>
      </c>
      <c r="E90" s="11" t="str">
        <f aca="false">IF(A90="","",Calculo!$B$10)</f>
        <v/>
      </c>
    </row>
    <row r="91" customFormat="false" ht="15" hidden="false" customHeight="false" outlineLevel="0" collapsed="false">
      <c r="A91" s="0" t="str">
        <f aca="false">IF(90&lt;=Calculo!$B$8,90,"")</f>
        <v/>
      </c>
      <c r="B91" s="11" t="str">
        <f aca="false">IF(A91="","",B90-Calculo!$B$6/Calculo!$B$8)</f>
        <v/>
      </c>
      <c r="C91" s="11" t="str">
        <f aca="false">IF(A91="","",Calculo!$B$6/Calculo!$B$8+B91*Calculo!$B$7/100)</f>
        <v/>
      </c>
      <c r="D91" s="11" t="str">
        <f aca="false">IF(A91="","",D90-(Calculo!$B$10-D90*Calculo!$B$7/100))</f>
        <v/>
      </c>
      <c r="E91" s="11" t="str">
        <f aca="false">IF(A91="","",Calculo!$B$10)</f>
        <v/>
      </c>
    </row>
    <row r="92" customFormat="false" ht="15" hidden="false" customHeight="false" outlineLevel="0" collapsed="false">
      <c r="A92" s="0" t="str">
        <f aca="false">IF(91&lt;=Calculo!$B$8,91,"")</f>
        <v/>
      </c>
      <c r="B92" s="11" t="str">
        <f aca="false">IF(A92="","",B91-Calculo!$B$6/Calculo!$B$8)</f>
        <v/>
      </c>
      <c r="C92" s="11" t="str">
        <f aca="false">IF(A92="","",Calculo!$B$6/Calculo!$B$8+B92*Calculo!$B$7/100)</f>
        <v/>
      </c>
      <c r="D92" s="11" t="str">
        <f aca="false">IF(A92="","",D91-(Calculo!$B$10-D91*Calculo!$B$7/100))</f>
        <v/>
      </c>
      <c r="E92" s="11" t="str">
        <f aca="false">IF(A92="","",Calculo!$B$10)</f>
        <v/>
      </c>
    </row>
    <row r="93" customFormat="false" ht="15" hidden="false" customHeight="false" outlineLevel="0" collapsed="false">
      <c r="A93" s="0" t="str">
        <f aca="false">IF(92&lt;=Calculo!$B$8,92,"")</f>
        <v/>
      </c>
      <c r="B93" s="11" t="str">
        <f aca="false">IF(A93="","",B92-Calculo!$B$6/Calculo!$B$8)</f>
        <v/>
      </c>
      <c r="C93" s="11" t="str">
        <f aca="false">IF(A93="","",Calculo!$B$6/Calculo!$B$8+B93*Calculo!$B$7/100)</f>
        <v/>
      </c>
      <c r="D93" s="11" t="str">
        <f aca="false">IF(A93="","",D92-(Calculo!$B$10-D92*Calculo!$B$7/100))</f>
        <v/>
      </c>
      <c r="E93" s="11" t="str">
        <f aca="false">IF(A93="","",Calculo!$B$10)</f>
        <v/>
      </c>
    </row>
    <row r="94" customFormat="false" ht="15" hidden="false" customHeight="false" outlineLevel="0" collapsed="false">
      <c r="A94" s="0" t="str">
        <f aca="false">IF(93&lt;=Calculo!$B$8,93,"")</f>
        <v/>
      </c>
      <c r="B94" s="11" t="str">
        <f aca="false">IF(A94="","",B93-Calculo!$B$6/Calculo!$B$8)</f>
        <v/>
      </c>
      <c r="C94" s="11" t="str">
        <f aca="false">IF(A94="","",Calculo!$B$6/Calculo!$B$8+B94*Calculo!$B$7/100)</f>
        <v/>
      </c>
      <c r="D94" s="11" t="str">
        <f aca="false">IF(A94="","",D93-(Calculo!$B$10-D93*Calculo!$B$7/100))</f>
        <v/>
      </c>
      <c r="E94" s="11" t="str">
        <f aca="false">IF(A94="","",Calculo!$B$10)</f>
        <v/>
      </c>
    </row>
    <row r="95" customFormat="false" ht="15" hidden="false" customHeight="false" outlineLevel="0" collapsed="false">
      <c r="A95" s="0" t="str">
        <f aca="false">IF(94&lt;=Calculo!$B$8,94,"")</f>
        <v/>
      </c>
      <c r="B95" s="11" t="str">
        <f aca="false">IF(A95="","",B94-Calculo!$B$6/Calculo!$B$8)</f>
        <v/>
      </c>
      <c r="C95" s="11" t="str">
        <f aca="false">IF(A95="","",Calculo!$B$6/Calculo!$B$8+B95*Calculo!$B$7/100)</f>
        <v/>
      </c>
      <c r="D95" s="11" t="str">
        <f aca="false">IF(A95="","",D94-(Calculo!$B$10-D94*Calculo!$B$7/100))</f>
        <v/>
      </c>
      <c r="E95" s="11" t="str">
        <f aca="false">IF(A95="","",Calculo!$B$10)</f>
        <v/>
      </c>
    </row>
    <row r="96" customFormat="false" ht="15" hidden="false" customHeight="false" outlineLevel="0" collapsed="false">
      <c r="A96" s="0" t="str">
        <f aca="false">IF(95&lt;=Calculo!$B$8,95,"")</f>
        <v/>
      </c>
      <c r="B96" s="11" t="str">
        <f aca="false">IF(A96="","",B95-Calculo!$B$6/Calculo!$B$8)</f>
        <v/>
      </c>
      <c r="C96" s="11" t="str">
        <f aca="false">IF(A96="","",Calculo!$B$6/Calculo!$B$8+B96*Calculo!$B$7/100)</f>
        <v/>
      </c>
      <c r="D96" s="11" t="str">
        <f aca="false">IF(A96="","",D95-(Calculo!$B$10-D95*Calculo!$B$7/100))</f>
        <v/>
      </c>
      <c r="E96" s="11" t="str">
        <f aca="false">IF(A96="","",Calculo!$B$10)</f>
        <v/>
      </c>
    </row>
    <row r="97" customFormat="false" ht="15" hidden="false" customHeight="false" outlineLevel="0" collapsed="false">
      <c r="A97" s="0" t="str">
        <f aca="false">IF(96&lt;=Calculo!$B$8,96,"")</f>
        <v/>
      </c>
      <c r="B97" s="11" t="str">
        <f aca="false">IF(A97="","",B96-Calculo!$B$6/Calculo!$B$8)</f>
        <v/>
      </c>
      <c r="C97" s="11" t="str">
        <f aca="false">IF(A97="","",Calculo!$B$6/Calculo!$B$8+B97*Calculo!$B$7/100)</f>
        <v/>
      </c>
      <c r="D97" s="11" t="str">
        <f aca="false">IF(A97="","",D96-(Calculo!$B$10-D96*Calculo!$B$7/100))</f>
        <v/>
      </c>
      <c r="E97" s="11" t="str">
        <f aca="false">IF(A97="","",Calculo!$B$10)</f>
        <v/>
      </c>
    </row>
    <row r="98" customFormat="false" ht="15" hidden="false" customHeight="false" outlineLevel="0" collapsed="false">
      <c r="A98" s="0" t="str">
        <f aca="false">IF(97&lt;=Calculo!$B$8,97,"")</f>
        <v/>
      </c>
      <c r="B98" s="11" t="str">
        <f aca="false">IF(A98="","",B97-Calculo!$B$6/Calculo!$B$8)</f>
        <v/>
      </c>
      <c r="C98" s="11" t="str">
        <f aca="false">IF(A98="","",Calculo!$B$6/Calculo!$B$8+B98*Calculo!$B$7/100)</f>
        <v/>
      </c>
      <c r="D98" s="11" t="str">
        <f aca="false">IF(A98="","",D97-(Calculo!$B$10-D97*Calculo!$B$7/100))</f>
        <v/>
      </c>
      <c r="E98" s="11" t="str">
        <f aca="false">IF(A98="","",Calculo!$B$10)</f>
        <v/>
      </c>
    </row>
    <row r="99" customFormat="false" ht="15" hidden="false" customHeight="false" outlineLevel="0" collapsed="false">
      <c r="A99" s="0" t="str">
        <f aca="false">IF(98&lt;=Calculo!$B$8,98,"")</f>
        <v/>
      </c>
      <c r="B99" s="11" t="str">
        <f aca="false">IF(A99="","",B98-Calculo!$B$6/Calculo!$B$8)</f>
        <v/>
      </c>
      <c r="C99" s="11" t="str">
        <f aca="false">IF(A99="","",Calculo!$B$6/Calculo!$B$8+B99*Calculo!$B$7/100)</f>
        <v/>
      </c>
      <c r="D99" s="11" t="str">
        <f aca="false">IF(A99="","",D98-(Calculo!$B$10-D98*Calculo!$B$7/100))</f>
        <v/>
      </c>
      <c r="E99" s="11" t="str">
        <f aca="false">IF(A99="","",Calculo!$B$10)</f>
        <v/>
      </c>
    </row>
    <row r="100" customFormat="false" ht="15" hidden="false" customHeight="false" outlineLevel="0" collapsed="false">
      <c r="A100" s="0" t="str">
        <f aca="false">IF(99&lt;=Calculo!$B$8,99,"")</f>
        <v/>
      </c>
      <c r="B100" s="11" t="str">
        <f aca="false">IF(A100="","",B99-Calculo!$B$6/Calculo!$B$8)</f>
        <v/>
      </c>
      <c r="C100" s="11" t="str">
        <f aca="false">IF(A100="","",Calculo!$B$6/Calculo!$B$8+B100*Calculo!$B$7/100)</f>
        <v/>
      </c>
      <c r="D100" s="11" t="str">
        <f aca="false">IF(A100="","",D99-(Calculo!$B$10-D99*Calculo!$B$7/100))</f>
        <v/>
      </c>
      <c r="E100" s="11" t="str">
        <f aca="false">IF(A100="","",Calculo!$B$10)</f>
        <v/>
      </c>
    </row>
    <row r="101" customFormat="false" ht="15" hidden="false" customHeight="false" outlineLevel="0" collapsed="false">
      <c r="A101" s="0" t="str">
        <f aca="false">IF(100&lt;=Calculo!$B$8,100,"")</f>
        <v/>
      </c>
      <c r="B101" s="11" t="str">
        <f aca="false">IF(A101="","",B100-Calculo!$B$6/Calculo!$B$8)</f>
        <v/>
      </c>
      <c r="C101" s="11" t="str">
        <f aca="false">IF(A101="","",Calculo!$B$6/Calculo!$B$8+B101*Calculo!$B$7/100)</f>
        <v/>
      </c>
      <c r="D101" s="11" t="str">
        <f aca="false">IF(A101="","",D100-(Calculo!$B$10-D100*Calculo!$B$7/100))</f>
        <v/>
      </c>
      <c r="E101" s="11" t="str">
        <f aca="false">IF(A101="","",Calculo!$B$10)</f>
        <v/>
      </c>
    </row>
    <row r="102" customFormat="false" ht="15" hidden="false" customHeight="false" outlineLevel="0" collapsed="false">
      <c r="A102" s="0" t="str">
        <f aca="false">IF(101&lt;=Calculo!$B$8,101,"")</f>
        <v/>
      </c>
      <c r="B102" s="11" t="str">
        <f aca="false">IF(A102="","",B101-Calculo!$B$6/Calculo!$B$8)</f>
        <v/>
      </c>
      <c r="C102" s="11" t="str">
        <f aca="false">IF(A102="","",Calculo!$B$6/Calculo!$B$8+B102*Calculo!$B$7/100)</f>
        <v/>
      </c>
      <c r="D102" s="11" t="str">
        <f aca="false">IF(A102="","",D101-(Calculo!$B$10-D101*Calculo!$B$7/100))</f>
        <v/>
      </c>
      <c r="E102" s="11" t="str">
        <f aca="false">IF(A102="","",Calculo!$B$10)</f>
        <v/>
      </c>
    </row>
    <row r="103" customFormat="false" ht="15" hidden="false" customHeight="false" outlineLevel="0" collapsed="false">
      <c r="A103" s="0" t="str">
        <f aca="false">IF(102&lt;=Calculo!$B$8,102,"")</f>
        <v/>
      </c>
      <c r="B103" s="11" t="str">
        <f aca="false">IF(A103="","",B102-Calculo!$B$6/Calculo!$B$8)</f>
        <v/>
      </c>
      <c r="C103" s="11" t="str">
        <f aca="false">IF(A103="","",Calculo!$B$6/Calculo!$B$8+B103*Calculo!$B$7/100)</f>
        <v/>
      </c>
      <c r="D103" s="11" t="str">
        <f aca="false">IF(A103="","",D102-(Calculo!$B$10-D102*Calculo!$B$7/100))</f>
        <v/>
      </c>
      <c r="E103" s="11" t="str">
        <f aca="false">IF(A103="","",Calculo!$B$10)</f>
        <v/>
      </c>
    </row>
    <row r="104" customFormat="false" ht="15" hidden="false" customHeight="false" outlineLevel="0" collapsed="false">
      <c r="A104" s="0" t="str">
        <f aca="false">IF(103&lt;=Calculo!$B$8,103,"")</f>
        <v/>
      </c>
      <c r="B104" s="11" t="str">
        <f aca="false">IF(A104="","",B103-Calculo!$B$6/Calculo!$B$8)</f>
        <v/>
      </c>
      <c r="C104" s="11" t="str">
        <f aca="false">IF(A104="","",Calculo!$B$6/Calculo!$B$8+B104*Calculo!$B$7/100)</f>
        <v/>
      </c>
      <c r="D104" s="11" t="str">
        <f aca="false">IF(A104="","",D103-(Calculo!$B$10-D103*Calculo!$B$7/100))</f>
        <v/>
      </c>
      <c r="E104" s="11" t="str">
        <f aca="false">IF(A104="","",Calculo!$B$10)</f>
        <v/>
      </c>
    </row>
    <row r="105" customFormat="false" ht="15" hidden="false" customHeight="false" outlineLevel="0" collapsed="false">
      <c r="A105" s="0" t="str">
        <f aca="false">IF(104&lt;=Calculo!$B$8,104,"")</f>
        <v/>
      </c>
      <c r="B105" s="11" t="str">
        <f aca="false">IF(A105="","",B104-Calculo!$B$6/Calculo!$B$8)</f>
        <v/>
      </c>
      <c r="C105" s="11" t="str">
        <f aca="false">IF(A105="","",Calculo!$B$6/Calculo!$B$8+B105*Calculo!$B$7/100)</f>
        <v/>
      </c>
      <c r="D105" s="11" t="str">
        <f aca="false">IF(A105="","",D104-(Calculo!$B$10-D104*Calculo!$B$7/100))</f>
        <v/>
      </c>
      <c r="E105" s="11" t="str">
        <f aca="false">IF(A105="","",Calculo!$B$10)</f>
        <v/>
      </c>
    </row>
    <row r="106" customFormat="false" ht="15" hidden="false" customHeight="false" outlineLevel="0" collapsed="false">
      <c r="A106" s="0" t="str">
        <f aca="false">IF(105&lt;=Calculo!$B$8,105,"")</f>
        <v/>
      </c>
      <c r="B106" s="11" t="str">
        <f aca="false">IF(A106="","",B105-Calculo!$B$6/Calculo!$B$8)</f>
        <v/>
      </c>
      <c r="C106" s="11" t="str">
        <f aca="false">IF(A106="","",Calculo!$B$6/Calculo!$B$8+B106*Calculo!$B$7/100)</f>
        <v/>
      </c>
      <c r="D106" s="11" t="str">
        <f aca="false">IF(A106="","",D105-(Calculo!$B$10-D105*Calculo!$B$7/100))</f>
        <v/>
      </c>
      <c r="E106" s="11" t="str">
        <f aca="false">IF(A106="","",Calculo!$B$10)</f>
        <v/>
      </c>
    </row>
    <row r="107" customFormat="false" ht="15" hidden="false" customHeight="false" outlineLevel="0" collapsed="false">
      <c r="A107" s="0" t="str">
        <f aca="false">IF(106&lt;=Calculo!$B$8,106,"")</f>
        <v/>
      </c>
      <c r="B107" s="11" t="str">
        <f aca="false">IF(A107="","",B106-Calculo!$B$6/Calculo!$B$8)</f>
        <v/>
      </c>
      <c r="C107" s="11" t="str">
        <f aca="false">IF(A107="","",Calculo!$B$6/Calculo!$B$8+B107*Calculo!$B$7/100)</f>
        <v/>
      </c>
      <c r="D107" s="11" t="str">
        <f aca="false">IF(A107="","",D106-(Calculo!$B$10-D106*Calculo!$B$7/100))</f>
        <v/>
      </c>
      <c r="E107" s="11" t="str">
        <f aca="false">IF(A107="","",Calculo!$B$10)</f>
        <v/>
      </c>
    </row>
    <row r="108" customFormat="false" ht="15" hidden="false" customHeight="false" outlineLevel="0" collapsed="false">
      <c r="A108" s="0" t="str">
        <f aca="false">IF(107&lt;=Calculo!$B$8,107,"")</f>
        <v/>
      </c>
      <c r="B108" s="11" t="str">
        <f aca="false">IF(A108="","",B107-Calculo!$B$6/Calculo!$B$8)</f>
        <v/>
      </c>
      <c r="C108" s="11" t="str">
        <f aca="false">IF(A108="","",Calculo!$B$6/Calculo!$B$8+B108*Calculo!$B$7/100)</f>
        <v/>
      </c>
      <c r="D108" s="11" t="str">
        <f aca="false">IF(A108="","",D107-(Calculo!$B$10-D107*Calculo!$B$7/100))</f>
        <v/>
      </c>
      <c r="E108" s="11" t="str">
        <f aca="false">IF(A108="","",Calculo!$B$10)</f>
        <v/>
      </c>
    </row>
    <row r="109" customFormat="false" ht="15" hidden="false" customHeight="false" outlineLevel="0" collapsed="false">
      <c r="A109" s="0" t="str">
        <f aca="false">IF(108&lt;=Calculo!$B$8,108,"")</f>
        <v/>
      </c>
      <c r="B109" s="11" t="str">
        <f aca="false">IF(A109="","",B108-Calculo!$B$6/Calculo!$B$8)</f>
        <v/>
      </c>
      <c r="C109" s="11" t="str">
        <f aca="false">IF(A109="","",Calculo!$B$6/Calculo!$B$8+B109*Calculo!$B$7/100)</f>
        <v/>
      </c>
      <c r="D109" s="11" t="str">
        <f aca="false">IF(A109="","",D108-(Calculo!$B$10-D108*Calculo!$B$7/100))</f>
        <v/>
      </c>
      <c r="E109" s="11" t="str">
        <f aca="false">IF(A109="","",Calculo!$B$10)</f>
        <v/>
      </c>
    </row>
    <row r="110" customFormat="false" ht="15" hidden="false" customHeight="false" outlineLevel="0" collapsed="false">
      <c r="A110" s="0" t="str">
        <f aca="false">IF(109&lt;=Calculo!$B$8,109,"")</f>
        <v/>
      </c>
      <c r="B110" s="11" t="str">
        <f aca="false">IF(A110="","",B109-Calculo!$B$6/Calculo!$B$8)</f>
        <v/>
      </c>
      <c r="C110" s="11" t="str">
        <f aca="false">IF(A110="","",Calculo!$B$6/Calculo!$B$8+B110*Calculo!$B$7/100)</f>
        <v/>
      </c>
      <c r="D110" s="11" t="str">
        <f aca="false">IF(A110="","",D109-(Calculo!$B$10-D109*Calculo!$B$7/100))</f>
        <v/>
      </c>
      <c r="E110" s="11" t="str">
        <f aca="false">IF(A110="","",Calculo!$B$10)</f>
        <v/>
      </c>
    </row>
    <row r="111" customFormat="false" ht="15" hidden="false" customHeight="false" outlineLevel="0" collapsed="false">
      <c r="A111" s="0" t="str">
        <f aca="false">IF(110&lt;=Calculo!$B$8,110,"")</f>
        <v/>
      </c>
      <c r="B111" s="11" t="str">
        <f aca="false">IF(A111="","",B110-Calculo!$B$6/Calculo!$B$8)</f>
        <v/>
      </c>
      <c r="C111" s="11" t="str">
        <f aca="false">IF(A111="","",Calculo!$B$6/Calculo!$B$8+B111*Calculo!$B$7/100)</f>
        <v/>
      </c>
      <c r="D111" s="11" t="str">
        <f aca="false">IF(A111="","",D110-(Calculo!$B$10-D110*Calculo!$B$7/100))</f>
        <v/>
      </c>
      <c r="E111" s="11" t="str">
        <f aca="false">IF(A111="","",Calculo!$B$10)</f>
        <v/>
      </c>
    </row>
    <row r="112" customFormat="false" ht="15" hidden="false" customHeight="false" outlineLevel="0" collapsed="false">
      <c r="A112" s="0" t="str">
        <f aca="false">IF(111&lt;=Calculo!$B$8,111,"")</f>
        <v/>
      </c>
      <c r="B112" s="11" t="str">
        <f aca="false">IF(A112="","",B111-Calculo!$B$6/Calculo!$B$8)</f>
        <v/>
      </c>
      <c r="C112" s="11" t="str">
        <f aca="false">IF(A112="","",Calculo!$B$6/Calculo!$B$8+B112*Calculo!$B$7/100)</f>
        <v/>
      </c>
      <c r="D112" s="11" t="str">
        <f aca="false">IF(A112="","",D111-(Calculo!$B$10-D111*Calculo!$B$7/100))</f>
        <v/>
      </c>
      <c r="E112" s="11" t="str">
        <f aca="false">IF(A112="","",Calculo!$B$10)</f>
        <v/>
      </c>
    </row>
    <row r="113" customFormat="false" ht="15" hidden="false" customHeight="false" outlineLevel="0" collapsed="false">
      <c r="A113" s="0" t="str">
        <f aca="false">IF(112&lt;=Calculo!$B$8,112,"")</f>
        <v/>
      </c>
      <c r="B113" s="11" t="str">
        <f aca="false">IF(A113="","",B112-Calculo!$B$6/Calculo!$B$8)</f>
        <v/>
      </c>
      <c r="C113" s="11" t="str">
        <f aca="false">IF(A113="","",Calculo!$B$6/Calculo!$B$8+B113*Calculo!$B$7/100)</f>
        <v/>
      </c>
      <c r="D113" s="11" t="str">
        <f aca="false">IF(A113="","",D112-(Calculo!$B$10-D112*Calculo!$B$7/100))</f>
        <v/>
      </c>
      <c r="E113" s="11" t="str">
        <f aca="false">IF(A113="","",Calculo!$B$10)</f>
        <v/>
      </c>
    </row>
    <row r="114" customFormat="false" ht="15" hidden="false" customHeight="false" outlineLevel="0" collapsed="false">
      <c r="A114" s="0" t="str">
        <f aca="false">IF(113&lt;=Calculo!$B$8,113,"")</f>
        <v/>
      </c>
      <c r="B114" s="11" t="str">
        <f aca="false">IF(A114="","",B113-Calculo!$B$6/Calculo!$B$8)</f>
        <v/>
      </c>
      <c r="C114" s="11" t="str">
        <f aca="false">IF(A114="","",Calculo!$B$6/Calculo!$B$8+B114*Calculo!$B$7/100)</f>
        <v/>
      </c>
      <c r="D114" s="11" t="str">
        <f aca="false">IF(A114="","",D113-(Calculo!$B$10-D113*Calculo!$B$7/100))</f>
        <v/>
      </c>
      <c r="E114" s="11" t="str">
        <f aca="false">IF(A114="","",Calculo!$B$10)</f>
        <v/>
      </c>
    </row>
    <row r="115" customFormat="false" ht="15" hidden="false" customHeight="false" outlineLevel="0" collapsed="false">
      <c r="A115" s="0" t="str">
        <f aca="false">IF(114&lt;=Calculo!$B$8,114,"")</f>
        <v/>
      </c>
      <c r="B115" s="11" t="str">
        <f aca="false">IF(A115="","",B114-Calculo!$B$6/Calculo!$B$8)</f>
        <v/>
      </c>
      <c r="C115" s="11" t="str">
        <f aca="false">IF(A115="","",Calculo!$B$6/Calculo!$B$8+B115*Calculo!$B$7/100)</f>
        <v/>
      </c>
      <c r="D115" s="11" t="str">
        <f aca="false">IF(A115="","",D114-(Calculo!$B$10-D114*Calculo!$B$7/100))</f>
        <v/>
      </c>
      <c r="E115" s="11" t="str">
        <f aca="false">IF(A115="","",Calculo!$B$10)</f>
        <v/>
      </c>
    </row>
    <row r="116" customFormat="false" ht="15" hidden="false" customHeight="false" outlineLevel="0" collapsed="false">
      <c r="A116" s="0" t="str">
        <f aca="false">IF(115&lt;=Calculo!$B$8,115,"")</f>
        <v/>
      </c>
      <c r="B116" s="11" t="str">
        <f aca="false">IF(A116="","",B115-Calculo!$B$6/Calculo!$B$8)</f>
        <v/>
      </c>
      <c r="C116" s="11" t="str">
        <f aca="false">IF(A116="","",Calculo!$B$6/Calculo!$B$8+B116*Calculo!$B$7/100)</f>
        <v/>
      </c>
      <c r="D116" s="11" t="str">
        <f aca="false">IF(A116="","",D115-(Calculo!$B$10-D115*Calculo!$B$7/100))</f>
        <v/>
      </c>
      <c r="E116" s="11" t="str">
        <f aca="false">IF(A116="","",Calculo!$B$10)</f>
        <v/>
      </c>
    </row>
    <row r="117" customFormat="false" ht="15" hidden="false" customHeight="false" outlineLevel="0" collapsed="false">
      <c r="A117" s="0" t="str">
        <f aca="false">IF(116&lt;=Calculo!$B$8,116,"")</f>
        <v/>
      </c>
      <c r="B117" s="11" t="str">
        <f aca="false">IF(A117="","",B116-Calculo!$B$6/Calculo!$B$8)</f>
        <v/>
      </c>
      <c r="C117" s="11" t="str">
        <f aca="false">IF(A117="","",Calculo!$B$6/Calculo!$B$8+B117*Calculo!$B$7/100)</f>
        <v/>
      </c>
      <c r="D117" s="11" t="str">
        <f aca="false">IF(A117="","",D116-(Calculo!$B$10-D116*Calculo!$B$7/100))</f>
        <v/>
      </c>
      <c r="E117" s="11" t="str">
        <f aca="false">IF(A117="","",Calculo!$B$10)</f>
        <v/>
      </c>
    </row>
    <row r="118" customFormat="false" ht="15" hidden="false" customHeight="false" outlineLevel="0" collapsed="false">
      <c r="A118" s="0" t="str">
        <f aca="false">IF(117&lt;=Calculo!$B$8,117,"")</f>
        <v/>
      </c>
      <c r="B118" s="11" t="str">
        <f aca="false">IF(A118="","",B117-Calculo!$B$6/Calculo!$B$8)</f>
        <v/>
      </c>
      <c r="C118" s="11" t="str">
        <f aca="false">IF(A118="","",Calculo!$B$6/Calculo!$B$8+B118*Calculo!$B$7/100)</f>
        <v/>
      </c>
      <c r="D118" s="11" t="str">
        <f aca="false">IF(A118="","",D117-(Calculo!$B$10-D117*Calculo!$B$7/100))</f>
        <v/>
      </c>
      <c r="E118" s="11" t="str">
        <f aca="false">IF(A118="","",Calculo!$B$10)</f>
        <v/>
      </c>
    </row>
    <row r="119" customFormat="false" ht="15" hidden="false" customHeight="false" outlineLevel="0" collapsed="false">
      <c r="A119" s="0" t="str">
        <f aca="false">IF(118&lt;=Calculo!$B$8,118,"")</f>
        <v/>
      </c>
      <c r="B119" s="11" t="str">
        <f aca="false">IF(A119="","",B118-Calculo!$B$6/Calculo!$B$8)</f>
        <v/>
      </c>
      <c r="C119" s="11" t="str">
        <f aca="false">IF(A119="","",Calculo!$B$6/Calculo!$B$8+B119*Calculo!$B$7/100)</f>
        <v/>
      </c>
      <c r="D119" s="11" t="str">
        <f aca="false">IF(A119="","",D118-(Calculo!$B$10-D118*Calculo!$B$7/100))</f>
        <v/>
      </c>
      <c r="E119" s="11" t="str">
        <f aca="false">IF(A119="","",Calculo!$B$10)</f>
        <v/>
      </c>
    </row>
    <row r="120" customFormat="false" ht="15" hidden="false" customHeight="false" outlineLevel="0" collapsed="false">
      <c r="A120" s="0" t="str">
        <f aca="false">IF(119&lt;=Calculo!$B$8,119,"")</f>
        <v/>
      </c>
      <c r="B120" s="11" t="str">
        <f aca="false">IF(A120="","",B119-Calculo!$B$6/Calculo!$B$8)</f>
        <v/>
      </c>
      <c r="C120" s="11" t="str">
        <f aca="false">IF(A120="","",Calculo!$B$6/Calculo!$B$8+B120*Calculo!$B$7/100)</f>
        <v/>
      </c>
      <c r="D120" s="11" t="str">
        <f aca="false">IF(A120="","",D119-(Calculo!$B$10-D119*Calculo!$B$7/100))</f>
        <v/>
      </c>
      <c r="E120" s="11" t="str">
        <f aca="false">IF(A120="","",Calculo!$B$10)</f>
        <v/>
      </c>
    </row>
    <row r="121" customFormat="false" ht="15" hidden="false" customHeight="false" outlineLevel="0" collapsed="false">
      <c r="A121" s="0" t="str">
        <f aca="false">IF(120&lt;=Calculo!$B$8,120,"")</f>
        <v/>
      </c>
      <c r="B121" s="11" t="str">
        <f aca="false">IF(A121="","",B120-Calculo!$B$6/Calculo!$B$8)</f>
        <v/>
      </c>
      <c r="C121" s="11" t="str">
        <f aca="false">IF(A121="","",Calculo!$B$6/Calculo!$B$8+B121*Calculo!$B$7/100)</f>
        <v/>
      </c>
      <c r="D121" s="11" t="str">
        <f aca="false">IF(A121="","",D120-(Calculo!$B$10-D120*Calculo!$B$7/100))</f>
        <v/>
      </c>
      <c r="E121" s="11" t="str">
        <f aca="false">IF(A121="","",Calculo!$B$10)</f>
        <v/>
      </c>
    </row>
    <row r="122" customFormat="false" ht="15" hidden="false" customHeight="false" outlineLevel="0" collapsed="false">
      <c r="A122" s="0" t="str">
        <f aca="false">IF(121&lt;=Calculo!$B$8,121,"")</f>
        <v/>
      </c>
      <c r="B122" s="11" t="str">
        <f aca="false">IF(A122="","",B121-Calculo!$B$6/Calculo!$B$8)</f>
        <v/>
      </c>
      <c r="C122" s="11" t="str">
        <f aca="false">IF(A122="","",Calculo!$B$6/Calculo!$B$8+B122*Calculo!$B$7/100)</f>
        <v/>
      </c>
      <c r="D122" s="11" t="str">
        <f aca="false">IF(A122="","",D121-(Calculo!$B$10-D121*Calculo!$B$7/100))</f>
        <v/>
      </c>
      <c r="E122" s="11" t="str">
        <f aca="false">IF(A122="","",Calculo!$B$10)</f>
        <v/>
      </c>
    </row>
    <row r="123" customFormat="false" ht="15" hidden="false" customHeight="false" outlineLevel="0" collapsed="false">
      <c r="A123" s="0" t="str">
        <f aca="false">IF(122&lt;=Calculo!$B$8,122,"")</f>
        <v/>
      </c>
      <c r="B123" s="11" t="str">
        <f aca="false">IF(A123="","",B122-Calculo!$B$6/Calculo!$B$8)</f>
        <v/>
      </c>
      <c r="C123" s="11" t="str">
        <f aca="false">IF(A123="","",Calculo!$B$6/Calculo!$B$8+B123*Calculo!$B$7/100)</f>
        <v/>
      </c>
      <c r="D123" s="11" t="str">
        <f aca="false">IF(A123="","",D122-(Calculo!$B$10-D122*Calculo!$B$7/100))</f>
        <v/>
      </c>
      <c r="E123" s="11" t="str">
        <f aca="false">IF(A123="","",Calculo!$B$10)</f>
        <v/>
      </c>
    </row>
    <row r="124" customFormat="false" ht="15" hidden="false" customHeight="false" outlineLevel="0" collapsed="false">
      <c r="A124" s="0" t="str">
        <f aca="false">IF(123&lt;=Calculo!$B$8,123,"")</f>
        <v/>
      </c>
      <c r="B124" s="11" t="str">
        <f aca="false">IF(A124="","",B123-Calculo!$B$6/Calculo!$B$8)</f>
        <v/>
      </c>
      <c r="C124" s="11" t="str">
        <f aca="false">IF(A124="","",Calculo!$B$6/Calculo!$B$8+B124*Calculo!$B$7/100)</f>
        <v/>
      </c>
      <c r="D124" s="11" t="str">
        <f aca="false">IF(A124="","",D123-(Calculo!$B$10-D123*Calculo!$B$7/100))</f>
        <v/>
      </c>
      <c r="E124" s="11" t="str">
        <f aca="false">IF(A124="","",Calculo!$B$10)</f>
        <v/>
      </c>
    </row>
    <row r="125" customFormat="false" ht="15" hidden="false" customHeight="false" outlineLevel="0" collapsed="false">
      <c r="A125" s="0" t="str">
        <f aca="false">IF(124&lt;=Calculo!$B$8,124,"")</f>
        <v/>
      </c>
      <c r="B125" s="11" t="str">
        <f aca="false">IF(A125="","",B124-Calculo!$B$6/Calculo!$B$8)</f>
        <v/>
      </c>
      <c r="C125" s="11" t="str">
        <f aca="false">IF(A125="","",Calculo!$B$6/Calculo!$B$8+B125*Calculo!$B$7/100)</f>
        <v/>
      </c>
      <c r="D125" s="11" t="str">
        <f aca="false">IF(A125="","",D124-(Calculo!$B$10-D124*Calculo!$B$7/100))</f>
        <v/>
      </c>
      <c r="E125" s="11" t="str">
        <f aca="false">IF(A125="","",Calculo!$B$10)</f>
        <v/>
      </c>
    </row>
    <row r="126" customFormat="false" ht="15" hidden="false" customHeight="false" outlineLevel="0" collapsed="false">
      <c r="A126" s="0" t="str">
        <f aca="false">IF(125&lt;=Calculo!$B$8,125,"")</f>
        <v/>
      </c>
      <c r="B126" s="11" t="str">
        <f aca="false">IF(A126="","",B125-Calculo!$B$6/Calculo!$B$8)</f>
        <v/>
      </c>
      <c r="C126" s="11" t="str">
        <f aca="false">IF(A126="","",Calculo!$B$6/Calculo!$B$8+B126*Calculo!$B$7/100)</f>
        <v/>
      </c>
      <c r="D126" s="11" t="str">
        <f aca="false">IF(A126="","",D125-(Calculo!$B$10-D125*Calculo!$B$7/100))</f>
        <v/>
      </c>
      <c r="E126" s="11" t="str">
        <f aca="false">IF(A126="","",Calculo!$B$10)</f>
        <v/>
      </c>
    </row>
    <row r="127" customFormat="false" ht="15" hidden="false" customHeight="false" outlineLevel="0" collapsed="false">
      <c r="A127" s="0" t="str">
        <f aca="false">IF(126&lt;=Calculo!$B$8,126,"")</f>
        <v/>
      </c>
      <c r="B127" s="11" t="str">
        <f aca="false">IF(A127="","",B126-Calculo!$B$6/Calculo!$B$8)</f>
        <v/>
      </c>
      <c r="C127" s="11" t="str">
        <f aca="false">IF(A127="","",Calculo!$B$6/Calculo!$B$8+B127*Calculo!$B$7/100)</f>
        <v/>
      </c>
      <c r="D127" s="11" t="str">
        <f aca="false">IF(A127="","",D126-(Calculo!$B$10-D126*Calculo!$B$7/100))</f>
        <v/>
      </c>
      <c r="E127" s="11" t="str">
        <f aca="false">IF(A127="","",Calculo!$B$10)</f>
        <v/>
      </c>
    </row>
    <row r="128" customFormat="false" ht="15" hidden="false" customHeight="false" outlineLevel="0" collapsed="false">
      <c r="A128" s="0" t="str">
        <f aca="false">IF(127&lt;=Calculo!$B$8,127,"")</f>
        <v/>
      </c>
      <c r="B128" s="11" t="str">
        <f aca="false">IF(A128="","",B127-Calculo!$B$6/Calculo!$B$8)</f>
        <v/>
      </c>
      <c r="C128" s="11" t="str">
        <f aca="false">IF(A128="","",Calculo!$B$6/Calculo!$B$8+B128*Calculo!$B$7/100)</f>
        <v/>
      </c>
      <c r="D128" s="11" t="str">
        <f aca="false">IF(A128="","",D127-(Calculo!$B$10-D127*Calculo!$B$7/100))</f>
        <v/>
      </c>
      <c r="E128" s="11" t="str">
        <f aca="false">IF(A128="","",Calculo!$B$10)</f>
        <v/>
      </c>
    </row>
    <row r="129" customFormat="false" ht="15" hidden="false" customHeight="false" outlineLevel="0" collapsed="false">
      <c r="A129" s="0" t="str">
        <f aca="false">IF(128&lt;=Calculo!$B$8,128,"")</f>
        <v/>
      </c>
      <c r="B129" s="11" t="str">
        <f aca="false">IF(A129="","",B128-Calculo!$B$6/Calculo!$B$8)</f>
        <v/>
      </c>
      <c r="C129" s="11" t="str">
        <f aca="false">IF(A129="","",Calculo!$B$6/Calculo!$B$8+B129*Calculo!$B$7/100)</f>
        <v/>
      </c>
      <c r="D129" s="11" t="str">
        <f aca="false">IF(A129="","",D128-(Calculo!$B$10-D128*Calculo!$B$7/100))</f>
        <v/>
      </c>
      <c r="E129" s="11" t="str">
        <f aca="false">IF(A129="","",Calculo!$B$10)</f>
        <v/>
      </c>
    </row>
    <row r="130" customFormat="false" ht="15" hidden="false" customHeight="false" outlineLevel="0" collapsed="false">
      <c r="A130" s="0" t="str">
        <f aca="false">IF(129&lt;=Calculo!$B$8,129,"")</f>
        <v/>
      </c>
      <c r="B130" s="11" t="str">
        <f aca="false">IF(A130="","",B129-Calculo!$B$6/Calculo!$B$8)</f>
        <v/>
      </c>
      <c r="C130" s="11" t="str">
        <f aca="false">IF(A130="","",Calculo!$B$6/Calculo!$B$8+B130*Calculo!$B$7/100)</f>
        <v/>
      </c>
      <c r="D130" s="11" t="str">
        <f aca="false">IF(A130="","",D129-(Calculo!$B$10-D129*Calculo!$B$7/100))</f>
        <v/>
      </c>
      <c r="E130" s="11" t="str">
        <f aca="false">IF(A130="","",Calculo!$B$10)</f>
        <v/>
      </c>
    </row>
    <row r="131" customFormat="false" ht="15" hidden="false" customHeight="false" outlineLevel="0" collapsed="false">
      <c r="A131" s="0" t="str">
        <f aca="false">IF(130&lt;=Calculo!$B$8,130,"")</f>
        <v/>
      </c>
      <c r="B131" s="11" t="str">
        <f aca="false">IF(A131="","",B130-Calculo!$B$6/Calculo!$B$8)</f>
        <v/>
      </c>
      <c r="C131" s="11" t="str">
        <f aca="false">IF(A131="","",Calculo!$B$6/Calculo!$B$8+B131*Calculo!$B$7/100)</f>
        <v/>
      </c>
      <c r="D131" s="11" t="str">
        <f aca="false">IF(A131="","",D130-(Calculo!$B$10-D130*Calculo!$B$7/100))</f>
        <v/>
      </c>
      <c r="E131" s="11" t="str">
        <f aca="false">IF(A131="","",Calculo!$B$10)</f>
        <v/>
      </c>
    </row>
    <row r="132" customFormat="false" ht="15" hidden="false" customHeight="false" outlineLevel="0" collapsed="false">
      <c r="A132" s="0" t="str">
        <f aca="false">IF(131&lt;=Calculo!$B$8,131,"")</f>
        <v/>
      </c>
      <c r="B132" s="11" t="str">
        <f aca="false">IF(A132="","",B131-Calculo!$B$6/Calculo!$B$8)</f>
        <v/>
      </c>
      <c r="C132" s="11" t="str">
        <f aca="false">IF(A132="","",Calculo!$B$6/Calculo!$B$8+B132*Calculo!$B$7/100)</f>
        <v/>
      </c>
      <c r="D132" s="11" t="str">
        <f aca="false">IF(A132="","",D131-(Calculo!$B$10-D131*Calculo!$B$7/100))</f>
        <v/>
      </c>
      <c r="E132" s="11" t="str">
        <f aca="false">IF(A132="","",Calculo!$B$10)</f>
        <v/>
      </c>
    </row>
    <row r="133" customFormat="false" ht="15" hidden="false" customHeight="false" outlineLevel="0" collapsed="false">
      <c r="A133" s="0" t="str">
        <f aca="false">IF(132&lt;=Calculo!$B$8,132,"")</f>
        <v/>
      </c>
      <c r="B133" s="11" t="str">
        <f aca="false">IF(A133="","",B132-Calculo!$B$6/Calculo!$B$8)</f>
        <v/>
      </c>
      <c r="C133" s="11" t="str">
        <f aca="false">IF(A133="","",Calculo!$B$6/Calculo!$B$8+B133*Calculo!$B$7/100)</f>
        <v/>
      </c>
      <c r="D133" s="11" t="str">
        <f aca="false">IF(A133="","",D132-(Calculo!$B$10-D132*Calculo!$B$7/100))</f>
        <v/>
      </c>
      <c r="E133" s="11" t="str">
        <f aca="false">IF(A133="","",Calculo!$B$10)</f>
        <v/>
      </c>
    </row>
    <row r="134" customFormat="false" ht="15" hidden="false" customHeight="false" outlineLevel="0" collapsed="false">
      <c r="A134" s="0" t="str">
        <f aca="false">IF(133&lt;=Calculo!$B$8,133,"")</f>
        <v/>
      </c>
      <c r="B134" s="11" t="str">
        <f aca="false">IF(A134="","",B133-Calculo!$B$6/Calculo!$B$8)</f>
        <v/>
      </c>
      <c r="C134" s="11" t="str">
        <f aca="false">IF(A134="","",Calculo!$B$6/Calculo!$B$8+B134*Calculo!$B$7/100)</f>
        <v/>
      </c>
      <c r="D134" s="11" t="str">
        <f aca="false">IF(A134="","",D133-(Calculo!$B$10-D133*Calculo!$B$7/100))</f>
        <v/>
      </c>
      <c r="E134" s="11" t="str">
        <f aca="false">IF(A134="","",Calculo!$B$10)</f>
        <v/>
      </c>
    </row>
    <row r="135" customFormat="false" ht="15" hidden="false" customHeight="false" outlineLevel="0" collapsed="false">
      <c r="A135" s="0" t="str">
        <f aca="false">IF(134&lt;=Calculo!$B$8,134,"")</f>
        <v/>
      </c>
      <c r="B135" s="11" t="str">
        <f aca="false">IF(A135="","",B134-Calculo!$B$6/Calculo!$B$8)</f>
        <v/>
      </c>
      <c r="C135" s="11" t="str">
        <f aca="false">IF(A135="","",Calculo!$B$6/Calculo!$B$8+B135*Calculo!$B$7/100)</f>
        <v/>
      </c>
      <c r="D135" s="11" t="str">
        <f aca="false">IF(A135="","",D134-(Calculo!$B$10-D134*Calculo!$B$7/100))</f>
        <v/>
      </c>
      <c r="E135" s="11" t="str">
        <f aca="false">IF(A135="","",Calculo!$B$10)</f>
        <v/>
      </c>
    </row>
    <row r="136" customFormat="false" ht="15" hidden="false" customHeight="false" outlineLevel="0" collapsed="false">
      <c r="A136" s="0" t="str">
        <f aca="false">IF(135&lt;=Calculo!$B$8,135,"")</f>
        <v/>
      </c>
      <c r="B136" s="11" t="str">
        <f aca="false">IF(A136="","",B135-Calculo!$B$6/Calculo!$B$8)</f>
        <v/>
      </c>
      <c r="C136" s="11" t="str">
        <f aca="false">IF(A136="","",Calculo!$B$6/Calculo!$B$8+B136*Calculo!$B$7/100)</f>
        <v/>
      </c>
      <c r="D136" s="11" t="str">
        <f aca="false">IF(A136="","",D135-(Calculo!$B$10-D135*Calculo!$B$7/100))</f>
        <v/>
      </c>
      <c r="E136" s="11" t="str">
        <f aca="false">IF(A136="","",Calculo!$B$10)</f>
        <v/>
      </c>
    </row>
    <row r="137" customFormat="false" ht="15" hidden="false" customHeight="false" outlineLevel="0" collapsed="false">
      <c r="A137" s="0" t="str">
        <f aca="false">IF(136&lt;=Calculo!$B$8,136,"")</f>
        <v/>
      </c>
      <c r="B137" s="11" t="str">
        <f aca="false">IF(A137="","",B136-Calculo!$B$6/Calculo!$B$8)</f>
        <v/>
      </c>
      <c r="C137" s="11" t="str">
        <f aca="false">IF(A137="","",Calculo!$B$6/Calculo!$B$8+B137*Calculo!$B$7/100)</f>
        <v/>
      </c>
      <c r="D137" s="11" t="str">
        <f aca="false">IF(A137="","",D136-(Calculo!$B$10-D136*Calculo!$B$7/100))</f>
        <v/>
      </c>
      <c r="E137" s="11" t="str">
        <f aca="false">IF(A137="","",Calculo!$B$10)</f>
        <v/>
      </c>
    </row>
    <row r="138" customFormat="false" ht="15" hidden="false" customHeight="false" outlineLevel="0" collapsed="false">
      <c r="A138" s="0" t="str">
        <f aca="false">IF(137&lt;=Calculo!$B$8,137,"")</f>
        <v/>
      </c>
      <c r="B138" s="11" t="str">
        <f aca="false">IF(A138="","",B137-Calculo!$B$6/Calculo!$B$8)</f>
        <v/>
      </c>
      <c r="C138" s="11" t="str">
        <f aca="false">IF(A138="","",Calculo!$B$6/Calculo!$B$8+B138*Calculo!$B$7/100)</f>
        <v/>
      </c>
      <c r="D138" s="11" t="str">
        <f aca="false">IF(A138="","",D137-(Calculo!$B$10-D137*Calculo!$B$7/100))</f>
        <v/>
      </c>
      <c r="E138" s="11" t="str">
        <f aca="false">IF(A138="","",Calculo!$B$10)</f>
        <v/>
      </c>
    </row>
    <row r="139" customFormat="false" ht="15" hidden="false" customHeight="false" outlineLevel="0" collapsed="false">
      <c r="A139" s="0" t="str">
        <f aca="false">IF(138&lt;=Calculo!$B$8,138,"")</f>
        <v/>
      </c>
      <c r="B139" s="11" t="str">
        <f aca="false">IF(A139="","",B138-Calculo!$B$6/Calculo!$B$8)</f>
        <v/>
      </c>
      <c r="C139" s="11" t="str">
        <f aca="false">IF(A139="","",Calculo!$B$6/Calculo!$B$8+B139*Calculo!$B$7/100)</f>
        <v/>
      </c>
      <c r="D139" s="11" t="str">
        <f aca="false">IF(A139="","",D138-(Calculo!$B$10-D138*Calculo!$B$7/100))</f>
        <v/>
      </c>
      <c r="E139" s="11" t="str">
        <f aca="false">IF(A139="","",Calculo!$B$10)</f>
        <v/>
      </c>
    </row>
    <row r="140" customFormat="false" ht="15" hidden="false" customHeight="false" outlineLevel="0" collapsed="false">
      <c r="A140" s="0" t="str">
        <f aca="false">IF(139&lt;=Calculo!$B$8,139,"")</f>
        <v/>
      </c>
      <c r="B140" s="11" t="str">
        <f aca="false">IF(A140="","",B139-Calculo!$B$6/Calculo!$B$8)</f>
        <v/>
      </c>
      <c r="C140" s="11" t="str">
        <f aca="false">IF(A140="","",Calculo!$B$6/Calculo!$B$8+B140*Calculo!$B$7/100)</f>
        <v/>
      </c>
      <c r="D140" s="11" t="str">
        <f aca="false">IF(A140="","",D139-(Calculo!$B$10-D139*Calculo!$B$7/100))</f>
        <v/>
      </c>
      <c r="E140" s="11" t="str">
        <f aca="false">IF(A140="","",Calculo!$B$10)</f>
        <v/>
      </c>
    </row>
    <row r="141" customFormat="false" ht="15" hidden="false" customHeight="false" outlineLevel="0" collapsed="false">
      <c r="A141" s="0" t="str">
        <f aca="false">IF(140&lt;=Calculo!$B$8,140,"")</f>
        <v/>
      </c>
      <c r="B141" s="11" t="str">
        <f aca="false">IF(A141="","",B140-Calculo!$B$6/Calculo!$B$8)</f>
        <v/>
      </c>
      <c r="C141" s="11" t="str">
        <f aca="false">IF(A141="","",Calculo!$B$6/Calculo!$B$8+B141*Calculo!$B$7/100)</f>
        <v/>
      </c>
      <c r="D141" s="11" t="str">
        <f aca="false">IF(A141="","",D140-(Calculo!$B$10-D140*Calculo!$B$7/100))</f>
        <v/>
      </c>
      <c r="E141" s="11" t="str">
        <f aca="false">IF(A141="","",Calculo!$B$10)</f>
        <v/>
      </c>
    </row>
    <row r="142" customFormat="false" ht="15" hidden="false" customHeight="false" outlineLevel="0" collapsed="false">
      <c r="A142" s="0" t="str">
        <f aca="false">IF(141&lt;=Calculo!$B$8,141,"")</f>
        <v/>
      </c>
      <c r="B142" s="11" t="str">
        <f aca="false">IF(A142="","",B141-Calculo!$B$6/Calculo!$B$8)</f>
        <v/>
      </c>
      <c r="C142" s="11" t="str">
        <f aca="false">IF(A142="","",Calculo!$B$6/Calculo!$B$8+B142*Calculo!$B$7/100)</f>
        <v/>
      </c>
      <c r="D142" s="11" t="str">
        <f aca="false">IF(A142="","",D141-(Calculo!$B$10-D141*Calculo!$B$7/100))</f>
        <v/>
      </c>
      <c r="E142" s="11" t="str">
        <f aca="false">IF(A142="","",Calculo!$B$10)</f>
        <v/>
      </c>
    </row>
    <row r="143" customFormat="false" ht="15" hidden="false" customHeight="false" outlineLevel="0" collapsed="false">
      <c r="A143" s="0" t="str">
        <f aca="false">IF(142&lt;=Calculo!$B$8,142,"")</f>
        <v/>
      </c>
      <c r="B143" s="11" t="str">
        <f aca="false">IF(A143="","",B142-Calculo!$B$6/Calculo!$B$8)</f>
        <v/>
      </c>
      <c r="C143" s="11" t="str">
        <f aca="false">IF(A143="","",Calculo!$B$6/Calculo!$B$8+B143*Calculo!$B$7/100)</f>
        <v/>
      </c>
      <c r="D143" s="11" t="str">
        <f aca="false">IF(A143="","",D142-(Calculo!$B$10-D142*Calculo!$B$7/100))</f>
        <v/>
      </c>
      <c r="E143" s="11" t="str">
        <f aca="false">IF(A143="","",Calculo!$B$10)</f>
        <v/>
      </c>
    </row>
    <row r="144" customFormat="false" ht="15" hidden="false" customHeight="false" outlineLevel="0" collapsed="false">
      <c r="A144" s="0" t="str">
        <f aca="false">IF(143&lt;=Calculo!$B$8,143,"")</f>
        <v/>
      </c>
      <c r="B144" s="11" t="str">
        <f aca="false">IF(A144="","",B143-Calculo!$B$6/Calculo!$B$8)</f>
        <v/>
      </c>
      <c r="C144" s="11" t="str">
        <f aca="false">IF(A144="","",Calculo!$B$6/Calculo!$B$8+B144*Calculo!$B$7/100)</f>
        <v/>
      </c>
      <c r="D144" s="11" t="str">
        <f aca="false">IF(A144="","",D143-(Calculo!$B$10-D143*Calculo!$B$7/100))</f>
        <v/>
      </c>
      <c r="E144" s="11" t="str">
        <f aca="false">IF(A144="","",Calculo!$B$10)</f>
        <v/>
      </c>
    </row>
    <row r="145" customFormat="false" ht="15" hidden="false" customHeight="false" outlineLevel="0" collapsed="false">
      <c r="A145" s="0" t="str">
        <f aca="false">IF(144&lt;=Calculo!$B$8,144,"")</f>
        <v/>
      </c>
      <c r="B145" s="11" t="str">
        <f aca="false">IF(A145="","",B144-Calculo!$B$6/Calculo!$B$8)</f>
        <v/>
      </c>
      <c r="C145" s="11" t="str">
        <f aca="false">IF(A145="","",Calculo!$B$6/Calculo!$B$8+B145*Calculo!$B$7/100)</f>
        <v/>
      </c>
      <c r="D145" s="11" t="str">
        <f aca="false">IF(A145="","",D144-(Calculo!$B$10-D144*Calculo!$B$7/100))</f>
        <v/>
      </c>
      <c r="E145" s="11" t="str">
        <f aca="false">IF(A145="","",Calculo!$B$10)</f>
        <v/>
      </c>
    </row>
    <row r="146" customFormat="false" ht="15" hidden="false" customHeight="false" outlineLevel="0" collapsed="false">
      <c r="A146" s="0" t="str">
        <f aca="false">IF(145&lt;=Calculo!$B$8,145,"")</f>
        <v/>
      </c>
      <c r="B146" s="11" t="str">
        <f aca="false">IF(A146="","",B145-Calculo!$B$6/Calculo!$B$8)</f>
        <v/>
      </c>
      <c r="C146" s="11" t="str">
        <f aca="false">IF(A146="","",Calculo!$B$6/Calculo!$B$8+B146*Calculo!$B$7/100)</f>
        <v/>
      </c>
      <c r="D146" s="11" t="str">
        <f aca="false">IF(A146="","",D145-(Calculo!$B$10-D145*Calculo!$B$7/100))</f>
        <v/>
      </c>
      <c r="E146" s="11" t="str">
        <f aca="false">IF(A146="","",Calculo!$B$10)</f>
        <v/>
      </c>
    </row>
    <row r="147" customFormat="false" ht="15" hidden="false" customHeight="false" outlineLevel="0" collapsed="false">
      <c r="A147" s="0" t="str">
        <f aca="false">IF(146&lt;=Calculo!$B$8,146,"")</f>
        <v/>
      </c>
      <c r="B147" s="11" t="str">
        <f aca="false">IF(A147="","",B146-Calculo!$B$6/Calculo!$B$8)</f>
        <v/>
      </c>
      <c r="C147" s="11" t="str">
        <f aca="false">IF(A147="","",Calculo!$B$6/Calculo!$B$8+B147*Calculo!$B$7/100)</f>
        <v/>
      </c>
      <c r="D147" s="11" t="str">
        <f aca="false">IF(A147="","",D146-(Calculo!$B$10-D146*Calculo!$B$7/100))</f>
        <v/>
      </c>
      <c r="E147" s="11" t="str">
        <f aca="false">IF(A147="","",Calculo!$B$10)</f>
        <v/>
      </c>
    </row>
    <row r="148" customFormat="false" ht="15" hidden="false" customHeight="false" outlineLevel="0" collapsed="false">
      <c r="A148" s="0" t="str">
        <f aca="false">IF(147&lt;=Calculo!$B$8,147,"")</f>
        <v/>
      </c>
      <c r="B148" s="11" t="str">
        <f aca="false">IF(A148="","",B147-Calculo!$B$6/Calculo!$B$8)</f>
        <v/>
      </c>
      <c r="C148" s="11" t="str">
        <f aca="false">IF(A148="","",Calculo!$B$6/Calculo!$B$8+B148*Calculo!$B$7/100)</f>
        <v/>
      </c>
      <c r="D148" s="11" t="str">
        <f aca="false">IF(A148="","",D147-(Calculo!$B$10-D147*Calculo!$B$7/100))</f>
        <v/>
      </c>
      <c r="E148" s="11" t="str">
        <f aca="false">IF(A148="","",Calculo!$B$10)</f>
        <v/>
      </c>
    </row>
    <row r="149" customFormat="false" ht="15" hidden="false" customHeight="false" outlineLevel="0" collapsed="false">
      <c r="A149" s="0" t="str">
        <f aca="false">IF(148&lt;=Calculo!$B$8,148,"")</f>
        <v/>
      </c>
      <c r="B149" s="11" t="str">
        <f aca="false">IF(A149="","",B148-Calculo!$B$6/Calculo!$B$8)</f>
        <v/>
      </c>
      <c r="C149" s="11" t="str">
        <f aca="false">IF(A149="","",Calculo!$B$6/Calculo!$B$8+B149*Calculo!$B$7/100)</f>
        <v/>
      </c>
      <c r="D149" s="11" t="str">
        <f aca="false">IF(A149="","",D148-(Calculo!$B$10-D148*Calculo!$B$7/100))</f>
        <v/>
      </c>
      <c r="E149" s="11" t="str">
        <f aca="false">IF(A149="","",Calculo!$B$10)</f>
        <v/>
      </c>
    </row>
    <row r="150" customFormat="false" ht="15" hidden="false" customHeight="false" outlineLevel="0" collapsed="false">
      <c r="A150" s="0" t="str">
        <f aca="false">IF(149&lt;=Calculo!$B$8,149,"")</f>
        <v/>
      </c>
      <c r="B150" s="11" t="str">
        <f aca="false">IF(A150="","",B149-Calculo!$B$6/Calculo!$B$8)</f>
        <v/>
      </c>
      <c r="C150" s="11" t="str">
        <f aca="false">IF(A150="","",Calculo!$B$6/Calculo!$B$8+B150*Calculo!$B$7/100)</f>
        <v/>
      </c>
      <c r="D150" s="11" t="str">
        <f aca="false">IF(A150="","",D149-(Calculo!$B$10-D149*Calculo!$B$7/100))</f>
        <v/>
      </c>
      <c r="E150" s="11" t="str">
        <f aca="false">IF(A150="","",Calculo!$B$10)</f>
        <v/>
      </c>
    </row>
    <row r="151" customFormat="false" ht="15" hidden="false" customHeight="false" outlineLevel="0" collapsed="false">
      <c r="A151" s="0" t="str">
        <f aca="false">IF(150&lt;=Calculo!$B$8,150,"")</f>
        <v/>
      </c>
      <c r="B151" s="11" t="str">
        <f aca="false">IF(A151="","",B150-Calculo!$B$6/Calculo!$B$8)</f>
        <v/>
      </c>
      <c r="C151" s="11" t="str">
        <f aca="false">IF(A151="","",Calculo!$B$6/Calculo!$B$8+B151*Calculo!$B$7/100)</f>
        <v/>
      </c>
      <c r="D151" s="11" t="str">
        <f aca="false">IF(A151="","",D150-(Calculo!$B$10-D150*Calculo!$B$7/100))</f>
        <v/>
      </c>
      <c r="E151" s="11" t="str">
        <f aca="false">IF(A151="","",Calculo!$B$10)</f>
        <v/>
      </c>
    </row>
    <row r="152" customFormat="false" ht="15" hidden="false" customHeight="false" outlineLevel="0" collapsed="false">
      <c r="A152" s="0" t="str">
        <f aca="false">IF(151&lt;=Calculo!$B$8,151,"")</f>
        <v/>
      </c>
      <c r="B152" s="11" t="str">
        <f aca="false">IF(A152="","",B151-Calculo!$B$6/Calculo!$B$8)</f>
        <v/>
      </c>
      <c r="C152" s="11" t="str">
        <f aca="false">IF(A152="","",Calculo!$B$6/Calculo!$B$8+B152*Calculo!$B$7/100)</f>
        <v/>
      </c>
      <c r="D152" s="11" t="str">
        <f aca="false">IF(A152="","",D151-(Calculo!$B$10-D151*Calculo!$B$7/100))</f>
        <v/>
      </c>
      <c r="E152" s="11" t="str">
        <f aca="false">IF(A152="","",Calculo!$B$10)</f>
        <v/>
      </c>
    </row>
    <row r="153" customFormat="false" ht="15" hidden="false" customHeight="false" outlineLevel="0" collapsed="false">
      <c r="A153" s="0" t="str">
        <f aca="false">IF(152&lt;=Calculo!$B$8,152,"")</f>
        <v/>
      </c>
      <c r="B153" s="11" t="str">
        <f aca="false">IF(A153="","",B152-Calculo!$B$6/Calculo!$B$8)</f>
        <v/>
      </c>
      <c r="C153" s="11" t="str">
        <f aca="false">IF(A153="","",Calculo!$B$6/Calculo!$B$8+B153*Calculo!$B$7/100)</f>
        <v/>
      </c>
      <c r="D153" s="11" t="str">
        <f aca="false">IF(A153="","",D152-(Calculo!$B$10-D152*Calculo!$B$7/100))</f>
        <v/>
      </c>
      <c r="E153" s="11" t="str">
        <f aca="false">IF(A153="","",Calculo!$B$10)</f>
        <v/>
      </c>
    </row>
    <row r="154" customFormat="false" ht="15" hidden="false" customHeight="false" outlineLevel="0" collapsed="false">
      <c r="A154" s="0" t="str">
        <f aca="false">IF(153&lt;=Calculo!$B$8,153,"")</f>
        <v/>
      </c>
      <c r="B154" s="11" t="str">
        <f aca="false">IF(A154="","",B153-Calculo!$B$6/Calculo!$B$8)</f>
        <v/>
      </c>
      <c r="C154" s="11" t="str">
        <f aca="false">IF(A154="","",Calculo!$B$6/Calculo!$B$8+B154*Calculo!$B$7/100)</f>
        <v/>
      </c>
      <c r="D154" s="11" t="str">
        <f aca="false">IF(A154="","",D153-(Calculo!$B$10-D153*Calculo!$B$7/100))</f>
        <v/>
      </c>
      <c r="E154" s="11" t="str">
        <f aca="false">IF(A154="","",Calculo!$B$10)</f>
        <v/>
      </c>
    </row>
    <row r="155" customFormat="false" ht="15" hidden="false" customHeight="false" outlineLevel="0" collapsed="false">
      <c r="A155" s="0" t="str">
        <f aca="false">IF(154&lt;=Calculo!$B$8,154,"")</f>
        <v/>
      </c>
      <c r="B155" s="11" t="str">
        <f aca="false">IF(A155="","",B154-Calculo!$B$6/Calculo!$B$8)</f>
        <v/>
      </c>
      <c r="C155" s="11" t="str">
        <f aca="false">IF(A155="","",Calculo!$B$6/Calculo!$B$8+B155*Calculo!$B$7/100)</f>
        <v/>
      </c>
      <c r="D155" s="11" t="str">
        <f aca="false">IF(A155="","",D154-(Calculo!$B$10-D154*Calculo!$B$7/100))</f>
        <v/>
      </c>
      <c r="E155" s="11" t="str">
        <f aca="false">IF(A155="","",Calculo!$B$10)</f>
        <v/>
      </c>
    </row>
    <row r="156" customFormat="false" ht="15" hidden="false" customHeight="false" outlineLevel="0" collapsed="false">
      <c r="A156" s="0" t="str">
        <f aca="false">IF(155&lt;=Calculo!$B$8,155,"")</f>
        <v/>
      </c>
      <c r="B156" s="11" t="str">
        <f aca="false">IF(A156="","",B155-Calculo!$B$6/Calculo!$B$8)</f>
        <v/>
      </c>
      <c r="C156" s="11" t="str">
        <f aca="false">IF(A156="","",Calculo!$B$6/Calculo!$B$8+B156*Calculo!$B$7/100)</f>
        <v/>
      </c>
      <c r="D156" s="11" t="str">
        <f aca="false">IF(A156="","",D155-(Calculo!$B$10-D155*Calculo!$B$7/100))</f>
        <v/>
      </c>
      <c r="E156" s="11" t="str">
        <f aca="false">IF(A156="","",Calculo!$B$10)</f>
        <v/>
      </c>
    </row>
    <row r="157" customFormat="false" ht="15" hidden="false" customHeight="false" outlineLevel="0" collapsed="false">
      <c r="A157" s="0" t="str">
        <f aca="false">IF(156&lt;=Calculo!$B$8,156,"")</f>
        <v/>
      </c>
      <c r="B157" s="11" t="str">
        <f aca="false">IF(A157="","",B156-Calculo!$B$6/Calculo!$B$8)</f>
        <v/>
      </c>
      <c r="C157" s="11" t="str">
        <f aca="false">IF(A157="","",Calculo!$B$6/Calculo!$B$8+B157*Calculo!$B$7/100)</f>
        <v/>
      </c>
      <c r="D157" s="11" t="str">
        <f aca="false">IF(A157="","",D156-(Calculo!$B$10-D156*Calculo!$B$7/100))</f>
        <v/>
      </c>
      <c r="E157" s="11" t="str">
        <f aca="false">IF(A157="","",Calculo!$B$10)</f>
        <v/>
      </c>
    </row>
    <row r="158" customFormat="false" ht="15" hidden="false" customHeight="false" outlineLevel="0" collapsed="false">
      <c r="A158" s="0" t="str">
        <f aca="false">IF(157&lt;=Calculo!$B$8,157,"")</f>
        <v/>
      </c>
      <c r="B158" s="11" t="str">
        <f aca="false">IF(A158="","",B157-Calculo!$B$6/Calculo!$B$8)</f>
        <v/>
      </c>
      <c r="C158" s="11" t="str">
        <f aca="false">IF(A158="","",Calculo!$B$6/Calculo!$B$8+B158*Calculo!$B$7/100)</f>
        <v/>
      </c>
      <c r="D158" s="11" t="str">
        <f aca="false">IF(A158="","",D157-(Calculo!$B$10-D157*Calculo!$B$7/100))</f>
        <v/>
      </c>
      <c r="E158" s="11" t="str">
        <f aca="false">IF(A158="","",Calculo!$B$10)</f>
        <v/>
      </c>
    </row>
    <row r="159" customFormat="false" ht="15" hidden="false" customHeight="false" outlineLevel="0" collapsed="false">
      <c r="A159" s="0" t="str">
        <f aca="false">IF(158&lt;=Calculo!$B$8,158,"")</f>
        <v/>
      </c>
      <c r="B159" s="11" t="str">
        <f aca="false">IF(A159="","",B158-Calculo!$B$6/Calculo!$B$8)</f>
        <v/>
      </c>
      <c r="C159" s="11" t="str">
        <f aca="false">IF(A159="","",Calculo!$B$6/Calculo!$B$8+B159*Calculo!$B$7/100)</f>
        <v/>
      </c>
      <c r="D159" s="11" t="str">
        <f aca="false">IF(A159="","",D158-(Calculo!$B$10-D158*Calculo!$B$7/100))</f>
        <v/>
      </c>
      <c r="E159" s="11" t="str">
        <f aca="false">IF(A159="","",Calculo!$B$10)</f>
        <v/>
      </c>
    </row>
    <row r="160" customFormat="false" ht="15" hidden="false" customHeight="false" outlineLevel="0" collapsed="false">
      <c r="A160" s="0" t="str">
        <f aca="false">IF(159&lt;=Calculo!$B$8,159,"")</f>
        <v/>
      </c>
      <c r="B160" s="11" t="str">
        <f aca="false">IF(A160="","",B159-Calculo!$B$6/Calculo!$B$8)</f>
        <v/>
      </c>
      <c r="C160" s="11" t="str">
        <f aca="false">IF(A160="","",Calculo!$B$6/Calculo!$B$8+B160*Calculo!$B$7/100)</f>
        <v/>
      </c>
      <c r="D160" s="11" t="str">
        <f aca="false">IF(A160="","",D159-(Calculo!$B$10-D159*Calculo!$B$7/100))</f>
        <v/>
      </c>
      <c r="E160" s="11" t="str">
        <f aca="false">IF(A160="","",Calculo!$B$10)</f>
        <v/>
      </c>
    </row>
    <row r="161" customFormat="false" ht="15" hidden="false" customHeight="false" outlineLevel="0" collapsed="false">
      <c r="A161" s="0" t="str">
        <f aca="false">IF(160&lt;=Calculo!$B$8,160,"")</f>
        <v/>
      </c>
      <c r="B161" s="11" t="str">
        <f aca="false">IF(A161="","",B160-Calculo!$B$6/Calculo!$B$8)</f>
        <v/>
      </c>
      <c r="C161" s="11" t="str">
        <f aca="false">IF(A161="","",Calculo!$B$6/Calculo!$B$8+B161*Calculo!$B$7/100)</f>
        <v/>
      </c>
      <c r="D161" s="11" t="str">
        <f aca="false">IF(A161="","",D160-(Calculo!$B$10-D160*Calculo!$B$7/100))</f>
        <v/>
      </c>
      <c r="E161" s="11" t="str">
        <f aca="false">IF(A161="","",Calculo!$B$10)</f>
        <v/>
      </c>
    </row>
    <row r="162" customFormat="false" ht="15" hidden="false" customHeight="false" outlineLevel="0" collapsed="false">
      <c r="A162" s="0" t="str">
        <f aca="false">IF(161&lt;=Calculo!$B$8,161,"")</f>
        <v/>
      </c>
      <c r="B162" s="11" t="str">
        <f aca="false">IF(A162="","",B161-Calculo!$B$6/Calculo!$B$8)</f>
        <v/>
      </c>
      <c r="C162" s="11" t="str">
        <f aca="false">IF(A162="","",Calculo!$B$6/Calculo!$B$8+B162*Calculo!$B$7/100)</f>
        <v/>
      </c>
      <c r="D162" s="11" t="str">
        <f aca="false">IF(A162="","",D161-(Calculo!$B$10-D161*Calculo!$B$7/100))</f>
        <v/>
      </c>
      <c r="E162" s="11" t="str">
        <f aca="false">IF(A162="","",Calculo!$B$10)</f>
        <v/>
      </c>
    </row>
    <row r="163" customFormat="false" ht="15" hidden="false" customHeight="false" outlineLevel="0" collapsed="false">
      <c r="A163" s="0" t="str">
        <f aca="false">IF(162&lt;=Calculo!$B$8,162,"")</f>
        <v/>
      </c>
      <c r="B163" s="11" t="str">
        <f aca="false">IF(A163="","",B162-Calculo!$B$6/Calculo!$B$8)</f>
        <v/>
      </c>
      <c r="C163" s="11" t="str">
        <f aca="false">IF(A163="","",Calculo!$B$6/Calculo!$B$8+B163*Calculo!$B$7/100)</f>
        <v/>
      </c>
      <c r="D163" s="11" t="str">
        <f aca="false">IF(A163="","",D162-(Calculo!$B$10-D162*Calculo!$B$7/100))</f>
        <v/>
      </c>
      <c r="E163" s="11" t="str">
        <f aca="false">IF(A163="","",Calculo!$B$10)</f>
        <v/>
      </c>
    </row>
    <row r="164" customFormat="false" ht="15" hidden="false" customHeight="false" outlineLevel="0" collapsed="false">
      <c r="A164" s="0" t="str">
        <f aca="false">IF(163&lt;=Calculo!$B$8,163,"")</f>
        <v/>
      </c>
      <c r="B164" s="11" t="str">
        <f aca="false">IF(A164="","",B163-Calculo!$B$6/Calculo!$B$8)</f>
        <v/>
      </c>
      <c r="C164" s="11" t="str">
        <f aca="false">IF(A164="","",Calculo!$B$6/Calculo!$B$8+B164*Calculo!$B$7/100)</f>
        <v/>
      </c>
      <c r="D164" s="11" t="str">
        <f aca="false">IF(A164="","",D163-(Calculo!$B$10-D163*Calculo!$B$7/100))</f>
        <v/>
      </c>
      <c r="E164" s="11" t="str">
        <f aca="false">IF(A164="","",Calculo!$B$10)</f>
        <v/>
      </c>
    </row>
    <row r="165" customFormat="false" ht="15" hidden="false" customHeight="false" outlineLevel="0" collapsed="false">
      <c r="A165" s="0" t="str">
        <f aca="false">IF(164&lt;=Calculo!$B$8,164,"")</f>
        <v/>
      </c>
      <c r="B165" s="11" t="str">
        <f aca="false">IF(A165="","",B164-Calculo!$B$6/Calculo!$B$8)</f>
        <v/>
      </c>
      <c r="C165" s="11" t="str">
        <f aca="false">IF(A165="","",Calculo!$B$6/Calculo!$B$8+B165*Calculo!$B$7/100)</f>
        <v/>
      </c>
      <c r="D165" s="11" t="str">
        <f aca="false">IF(A165="","",D164-(Calculo!$B$10-D164*Calculo!$B$7/100))</f>
        <v/>
      </c>
      <c r="E165" s="11" t="str">
        <f aca="false">IF(A165="","",Calculo!$B$10)</f>
        <v/>
      </c>
    </row>
    <row r="166" customFormat="false" ht="15" hidden="false" customHeight="false" outlineLevel="0" collapsed="false">
      <c r="A166" s="0" t="str">
        <f aca="false">IF(165&lt;=Calculo!$B$8,165,"")</f>
        <v/>
      </c>
      <c r="B166" s="11" t="str">
        <f aca="false">IF(A166="","",B165-Calculo!$B$6/Calculo!$B$8)</f>
        <v/>
      </c>
      <c r="C166" s="11" t="str">
        <f aca="false">IF(A166="","",Calculo!$B$6/Calculo!$B$8+B166*Calculo!$B$7/100)</f>
        <v/>
      </c>
      <c r="D166" s="11" t="str">
        <f aca="false">IF(A166="","",D165-(Calculo!$B$10-D165*Calculo!$B$7/100))</f>
        <v/>
      </c>
      <c r="E166" s="11" t="str">
        <f aca="false">IF(A166="","",Calculo!$B$10)</f>
        <v/>
      </c>
    </row>
    <row r="167" customFormat="false" ht="15" hidden="false" customHeight="false" outlineLevel="0" collapsed="false">
      <c r="A167" s="0" t="str">
        <f aca="false">IF(166&lt;=Calculo!$B$8,166,"")</f>
        <v/>
      </c>
      <c r="B167" s="11" t="str">
        <f aca="false">IF(A167="","",B166-Calculo!$B$6/Calculo!$B$8)</f>
        <v/>
      </c>
      <c r="C167" s="11" t="str">
        <f aca="false">IF(A167="","",Calculo!$B$6/Calculo!$B$8+B167*Calculo!$B$7/100)</f>
        <v/>
      </c>
      <c r="D167" s="11" t="str">
        <f aca="false">IF(A167="","",D166-(Calculo!$B$10-D166*Calculo!$B$7/100))</f>
        <v/>
      </c>
      <c r="E167" s="11" t="str">
        <f aca="false">IF(A167="","",Calculo!$B$10)</f>
        <v/>
      </c>
    </row>
    <row r="168" customFormat="false" ht="15" hidden="false" customHeight="false" outlineLevel="0" collapsed="false">
      <c r="A168" s="0" t="str">
        <f aca="false">IF(167&lt;=Calculo!$B$8,167,"")</f>
        <v/>
      </c>
      <c r="B168" s="11" t="str">
        <f aca="false">IF(A168="","",B167-Calculo!$B$6/Calculo!$B$8)</f>
        <v/>
      </c>
      <c r="C168" s="11" t="str">
        <f aca="false">IF(A168="","",Calculo!$B$6/Calculo!$B$8+B168*Calculo!$B$7/100)</f>
        <v/>
      </c>
      <c r="D168" s="11" t="str">
        <f aca="false">IF(A168="","",D167-(Calculo!$B$10-D167*Calculo!$B$7/100))</f>
        <v/>
      </c>
      <c r="E168" s="11" t="str">
        <f aca="false">IF(A168="","",Calculo!$B$10)</f>
        <v/>
      </c>
    </row>
    <row r="169" customFormat="false" ht="15" hidden="false" customHeight="false" outlineLevel="0" collapsed="false">
      <c r="A169" s="0" t="str">
        <f aca="false">IF(168&lt;=Calculo!$B$8,168,"")</f>
        <v/>
      </c>
      <c r="B169" s="11" t="str">
        <f aca="false">IF(A169="","",B168-Calculo!$B$6/Calculo!$B$8)</f>
        <v/>
      </c>
      <c r="C169" s="11" t="str">
        <f aca="false">IF(A169="","",Calculo!$B$6/Calculo!$B$8+B169*Calculo!$B$7/100)</f>
        <v/>
      </c>
      <c r="D169" s="11" t="str">
        <f aca="false">IF(A169="","",D168-(Calculo!$B$10-D168*Calculo!$B$7/100))</f>
        <v/>
      </c>
      <c r="E169" s="11" t="str">
        <f aca="false">IF(A169="","",Calculo!$B$10)</f>
        <v/>
      </c>
    </row>
    <row r="170" customFormat="false" ht="15" hidden="false" customHeight="false" outlineLevel="0" collapsed="false">
      <c r="A170" s="0" t="str">
        <f aca="false">IF(169&lt;=Calculo!$B$8,169,"")</f>
        <v/>
      </c>
      <c r="B170" s="11" t="str">
        <f aca="false">IF(A170="","",B169-Calculo!$B$6/Calculo!$B$8)</f>
        <v/>
      </c>
      <c r="C170" s="11" t="str">
        <f aca="false">IF(A170="","",Calculo!$B$6/Calculo!$B$8+B170*Calculo!$B$7/100)</f>
        <v/>
      </c>
      <c r="D170" s="11" t="str">
        <f aca="false">IF(A170="","",D169-(Calculo!$B$10-D169*Calculo!$B$7/100))</f>
        <v/>
      </c>
      <c r="E170" s="11" t="str">
        <f aca="false">IF(A170="","",Calculo!$B$10)</f>
        <v/>
      </c>
    </row>
    <row r="171" customFormat="false" ht="15" hidden="false" customHeight="false" outlineLevel="0" collapsed="false">
      <c r="A171" s="0" t="str">
        <f aca="false">IF(170&lt;=Calculo!$B$8,170,"")</f>
        <v/>
      </c>
      <c r="B171" s="11" t="str">
        <f aca="false">IF(A171="","",B170-Calculo!$B$6/Calculo!$B$8)</f>
        <v/>
      </c>
      <c r="C171" s="11" t="str">
        <f aca="false">IF(A171="","",Calculo!$B$6/Calculo!$B$8+B171*Calculo!$B$7/100)</f>
        <v/>
      </c>
      <c r="D171" s="11" t="str">
        <f aca="false">IF(A171="","",D170-(Calculo!$B$10-D170*Calculo!$B$7/100))</f>
        <v/>
      </c>
      <c r="E171" s="11" t="str">
        <f aca="false">IF(A171="","",Calculo!$B$10)</f>
        <v/>
      </c>
    </row>
    <row r="172" customFormat="false" ht="15" hidden="false" customHeight="false" outlineLevel="0" collapsed="false">
      <c r="A172" s="0" t="str">
        <f aca="false">IF(171&lt;=Calculo!$B$8,171,"")</f>
        <v/>
      </c>
      <c r="B172" s="11" t="str">
        <f aca="false">IF(A172="","",B171-Calculo!$B$6/Calculo!$B$8)</f>
        <v/>
      </c>
      <c r="C172" s="11" t="str">
        <f aca="false">IF(A172="","",Calculo!$B$6/Calculo!$B$8+B172*Calculo!$B$7/100)</f>
        <v/>
      </c>
      <c r="D172" s="11" t="str">
        <f aca="false">IF(A172="","",D171-(Calculo!$B$10-D171*Calculo!$B$7/100))</f>
        <v/>
      </c>
      <c r="E172" s="11" t="str">
        <f aca="false">IF(A172="","",Calculo!$B$10)</f>
        <v/>
      </c>
    </row>
    <row r="173" customFormat="false" ht="15" hidden="false" customHeight="false" outlineLevel="0" collapsed="false">
      <c r="A173" s="0" t="str">
        <f aca="false">IF(172&lt;=Calculo!$B$8,172,"")</f>
        <v/>
      </c>
      <c r="B173" s="11" t="str">
        <f aca="false">IF(A173="","",B172-Calculo!$B$6/Calculo!$B$8)</f>
        <v/>
      </c>
      <c r="C173" s="11" t="str">
        <f aca="false">IF(A173="","",Calculo!$B$6/Calculo!$B$8+B173*Calculo!$B$7/100)</f>
        <v/>
      </c>
      <c r="D173" s="11" t="str">
        <f aca="false">IF(A173="","",D172-(Calculo!$B$10-D172*Calculo!$B$7/100))</f>
        <v/>
      </c>
      <c r="E173" s="11" t="str">
        <f aca="false">IF(A173="","",Calculo!$B$10)</f>
        <v/>
      </c>
    </row>
    <row r="174" customFormat="false" ht="15" hidden="false" customHeight="false" outlineLevel="0" collapsed="false">
      <c r="A174" s="0" t="str">
        <f aca="false">IF(173&lt;=Calculo!$B$8,173,"")</f>
        <v/>
      </c>
      <c r="B174" s="11" t="str">
        <f aca="false">IF(A174="","",B173-Calculo!$B$6/Calculo!$B$8)</f>
        <v/>
      </c>
      <c r="C174" s="11" t="str">
        <f aca="false">IF(A174="","",Calculo!$B$6/Calculo!$B$8+B174*Calculo!$B$7/100)</f>
        <v/>
      </c>
      <c r="D174" s="11" t="str">
        <f aca="false">IF(A174="","",D173-(Calculo!$B$10-D173*Calculo!$B$7/100))</f>
        <v/>
      </c>
      <c r="E174" s="11" t="str">
        <f aca="false">IF(A174="","",Calculo!$B$10)</f>
        <v/>
      </c>
    </row>
    <row r="175" customFormat="false" ht="15" hidden="false" customHeight="false" outlineLevel="0" collapsed="false">
      <c r="A175" s="0" t="str">
        <f aca="false">IF(174&lt;=Calculo!$B$8,174,"")</f>
        <v/>
      </c>
      <c r="B175" s="11" t="str">
        <f aca="false">IF(A175="","",B174-Calculo!$B$6/Calculo!$B$8)</f>
        <v/>
      </c>
      <c r="C175" s="11" t="str">
        <f aca="false">IF(A175="","",Calculo!$B$6/Calculo!$B$8+B175*Calculo!$B$7/100)</f>
        <v/>
      </c>
      <c r="D175" s="11" t="str">
        <f aca="false">IF(A175="","",D174-(Calculo!$B$10-D174*Calculo!$B$7/100))</f>
        <v/>
      </c>
      <c r="E175" s="11" t="str">
        <f aca="false">IF(A175="","",Calculo!$B$10)</f>
        <v/>
      </c>
    </row>
    <row r="176" customFormat="false" ht="15" hidden="false" customHeight="false" outlineLevel="0" collapsed="false">
      <c r="A176" s="0" t="str">
        <f aca="false">IF(175&lt;=Calculo!$B$8,175,"")</f>
        <v/>
      </c>
      <c r="B176" s="11" t="str">
        <f aca="false">IF(A176="","",B175-Calculo!$B$6/Calculo!$B$8)</f>
        <v/>
      </c>
      <c r="C176" s="11" t="str">
        <f aca="false">IF(A176="","",Calculo!$B$6/Calculo!$B$8+B176*Calculo!$B$7/100)</f>
        <v/>
      </c>
      <c r="D176" s="11" t="str">
        <f aca="false">IF(A176="","",D175-(Calculo!$B$10-D175*Calculo!$B$7/100))</f>
        <v/>
      </c>
      <c r="E176" s="11" t="str">
        <f aca="false">IF(A176="","",Calculo!$B$10)</f>
        <v/>
      </c>
    </row>
    <row r="177" customFormat="false" ht="15" hidden="false" customHeight="false" outlineLevel="0" collapsed="false">
      <c r="A177" s="0" t="str">
        <f aca="false">IF(176&lt;=Calculo!$B$8,176,"")</f>
        <v/>
      </c>
      <c r="B177" s="11" t="str">
        <f aca="false">IF(A177="","",B176-Calculo!$B$6/Calculo!$B$8)</f>
        <v/>
      </c>
      <c r="C177" s="11" t="str">
        <f aca="false">IF(A177="","",Calculo!$B$6/Calculo!$B$8+B177*Calculo!$B$7/100)</f>
        <v/>
      </c>
      <c r="D177" s="11" t="str">
        <f aca="false">IF(A177="","",D176-(Calculo!$B$10-D176*Calculo!$B$7/100))</f>
        <v/>
      </c>
      <c r="E177" s="11" t="str">
        <f aca="false">IF(A177="","",Calculo!$B$10)</f>
        <v/>
      </c>
    </row>
    <row r="178" customFormat="false" ht="15" hidden="false" customHeight="false" outlineLevel="0" collapsed="false">
      <c r="A178" s="0" t="str">
        <f aca="false">IF(177&lt;=Calculo!$B$8,177,"")</f>
        <v/>
      </c>
      <c r="B178" s="11" t="str">
        <f aca="false">IF(A178="","",B177-Calculo!$B$6/Calculo!$B$8)</f>
        <v/>
      </c>
      <c r="C178" s="11" t="str">
        <f aca="false">IF(A178="","",Calculo!$B$6/Calculo!$B$8+B178*Calculo!$B$7/100)</f>
        <v/>
      </c>
      <c r="D178" s="11" t="str">
        <f aca="false">IF(A178="","",D177-(Calculo!$B$10-D177*Calculo!$B$7/100))</f>
        <v/>
      </c>
      <c r="E178" s="11" t="str">
        <f aca="false">IF(A178="","",Calculo!$B$10)</f>
        <v/>
      </c>
    </row>
    <row r="179" customFormat="false" ht="15" hidden="false" customHeight="false" outlineLevel="0" collapsed="false">
      <c r="A179" s="0" t="str">
        <f aca="false">IF(178&lt;=Calculo!$B$8,178,"")</f>
        <v/>
      </c>
      <c r="B179" s="11" t="str">
        <f aca="false">IF(A179="","",B178-Calculo!$B$6/Calculo!$B$8)</f>
        <v/>
      </c>
      <c r="C179" s="11" t="str">
        <f aca="false">IF(A179="","",Calculo!$B$6/Calculo!$B$8+B179*Calculo!$B$7/100)</f>
        <v/>
      </c>
      <c r="D179" s="11" t="str">
        <f aca="false">IF(A179="","",D178-(Calculo!$B$10-D178*Calculo!$B$7/100))</f>
        <v/>
      </c>
      <c r="E179" s="11" t="str">
        <f aca="false">IF(A179="","",Calculo!$B$10)</f>
        <v/>
      </c>
    </row>
    <row r="180" customFormat="false" ht="15" hidden="false" customHeight="false" outlineLevel="0" collapsed="false">
      <c r="A180" s="0" t="str">
        <f aca="false">IF(179&lt;=Calculo!$B$8,179,"")</f>
        <v/>
      </c>
      <c r="B180" s="11" t="str">
        <f aca="false">IF(A180="","",B179-Calculo!$B$6/Calculo!$B$8)</f>
        <v/>
      </c>
      <c r="C180" s="11" t="str">
        <f aca="false">IF(A180="","",Calculo!$B$6/Calculo!$B$8+B180*Calculo!$B$7/100)</f>
        <v/>
      </c>
      <c r="D180" s="11" t="str">
        <f aca="false">IF(A180="","",D179-(Calculo!$B$10-D179*Calculo!$B$7/100))</f>
        <v/>
      </c>
      <c r="E180" s="11" t="str">
        <f aca="false">IF(A180="","",Calculo!$B$10)</f>
        <v/>
      </c>
    </row>
    <row r="181" customFormat="false" ht="15" hidden="false" customHeight="false" outlineLevel="0" collapsed="false">
      <c r="A181" s="0" t="str">
        <f aca="false">IF(180&lt;=Calculo!$B$8,180,"")</f>
        <v/>
      </c>
      <c r="B181" s="11" t="str">
        <f aca="false">IF(A181="","",B180-Calculo!$B$6/Calculo!$B$8)</f>
        <v/>
      </c>
      <c r="C181" s="11" t="str">
        <f aca="false">IF(A181="","",Calculo!$B$6/Calculo!$B$8+B181*Calculo!$B$7/100)</f>
        <v/>
      </c>
      <c r="D181" s="11" t="str">
        <f aca="false">IF(A181="","",D180-(Calculo!$B$10-D180*Calculo!$B$7/100))</f>
        <v/>
      </c>
      <c r="E181" s="11" t="str">
        <f aca="false">IF(A181="","",Calculo!$B$10)</f>
        <v/>
      </c>
    </row>
    <row r="182" customFormat="false" ht="15" hidden="false" customHeight="false" outlineLevel="0" collapsed="false">
      <c r="A182" s="0" t="str">
        <f aca="false">IF(181&lt;=Calculo!$B$8,181,"")</f>
        <v/>
      </c>
      <c r="B182" s="11" t="str">
        <f aca="false">IF(A182="","",B181-Calculo!$B$6/Calculo!$B$8)</f>
        <v/>
      </c>
      <c r="C182" s="11" t="str">
        <f aca="false">IF(A182="","",Calculo!$B$6/Calculo!$B$8+B182*Calculo!$B$7/100)</f>
        <v/>
      </c>
      <c r="D182" s="11" t="str">
        <f aca="false">IF(A182="","",D181-(Calculo!$B$10-D181*Calculo!$B$7/100))</f>
        <v/>
      </c>
      <c r="E182" s="11" t="str">
        <f aca="false">IF(A182="","",Calculo!$B$10)</f>
        <v/>
      </c>
    </row>
    <row r="183" customFormat="false" ht="15" hidden="false" customHeight="false" outlineLevel="0" collapsed="false">
      <c r="A183" s="0" t="str">
        <f aca="false">IF(182&lt;=Calculo!$B$8,182,"")</f>
        <v/>
      </c>
      <c r="B183" s="11" t="str">
        <f aca="false">IF(A183="","",B182-Calculo!$B$6/Calculo!$B$8)</f>
        <v/>
      </c>
      <c r="C183" s="11" t="str">
        <f aca="false">IF(A183="","",Calculo!$B$6/Calculo!$B$8+B183*Calculo!$B$7/100)</f>
        <v/>
      </c>
      <c r="D183" s="11" t="str">
        <f aca="false">IF(A183="","",D182-(Calculo!$B$10-D182*Calculo!$B$7/100))</f>
        <v/>
      </c>
      <c r="E183" s="11" t="str">
        <f aca="false">IF(A183="","",Calculo!$B$10)</f>
        <v/>
      </c>
    </row>
    <row r="184" customFormat="false" ht="15" hidden="false" customHeight="false" outlineLevel="0" collapsed="false">
      <c r="A184" s="0" t="str">
        <f aca="false">IF(183&lt;=Calculo!$B$8,183,"")</f>
        <v/>
      </c>
      <c r="B184" s="11" t="str">
        <f aca="false">IF(A184="","",B183-Calculo!$B$6/Calculo!$B$8)</f>
        <v/>
      </c>
      <c r="C184" s="11" t="str">
        <f aca="false">IF(A184="","",Calculo!$B$6/Calculo!$B$8+B184*Calculo!$B$7/100)</f>
        <v/>
      </c>
      <c r="D184" s="11" t="str">
        <f aca="false">IF(A184="","",D183-(Calculo!$B$10-D183*Calculo!$B$7/100))</f>
        <v/>
      </c>
      <c r="E184" s="11" t="str">
        <f aca="false">IF(A184="","",Calculo!$B$10)</f>
        <v/>
      </c>
    </row>
    <row r="185" customFormat="false" ht="15" hidden="false" customHeight="false" outlineLevel="0" collapsed="false">
      <c r="A185" s="0" t="str">
        <f aca="false">IF(184&lt;=Calculo!$B$8,184,"")</f>
        <v/>
      </c>
      <c r="B185" s="11" t="str">
        <f aca="false">IF(A185="","",B184-Calculo!$B$6/Calculo!$B$8)</f>
        <v/>
      </c>
      <c r="C185" s="11" t="str">
        <f aca="false">IF(A185="","",Calculo!$B$6/Calculo!$B$8+B185*Calculo!$B$7/100)</f>
        <v/>
      </c>
      <c r="D185" s="11" t="str">
        <f aca="false">IF(A185="","",D184-(Calculo!$B$10-D184*Calculo!$B$7/100))</f>
        <v/>
      </c>
      <c r="E185" s="11" t="str">
        <f aca="false">IF(A185="","",Calculo!$B$10)</f>
        <v/>
      </c>
    </row>
    <row r="186" customFormat="false" ht="15" hidden="false" customHeight="false" outlineLevel="0" collapsed="false">
      <c r="A186" s="0" t="str">
        <f aca="false">IF(185&lt;=Calculo!$B$8,185,"")</f>
        <v/>
      </c>
      <c r="B186" s="11" t="str">
        <f aca="false">IF(A186="","",B185-Calculo!$B$6/Calculo!$B$8)</f>
        <v/>
      </c>
      <c r="C186" s="11" t="str">
        <f aca="false">IF(A186="","",Calculo!$B$6/Calculo!$B$8+B186*Calculo!$B$7/100)</f>
        <v/>
      </c>
      <c r="D186" s="11" t="str">
        <f aca="false">IF(A186="","",D185-(Calculo!$B$10-D185*Calculo!$B$7/100))</f>
        <v/>
      </c>
      <c r="E186" s="11" t="str">
        <f aca="false">IF(A186="","",Calculo!$B$10)</f>
        <v/>
      </c>
    </row>
    <row r="187" customFormat="false" ht="15" hidden="false" customHeight="false" outlineLevel="0" collapsed="false">
      <c r="A187" s="0" t="str">
        <f aca="false">IF(186&lt;=Calculo!$B$8,186,"")</f>
        <v/>
      </c>
      <c r="B187" s="11" t="str">
        <f aca="false">IF(A187="","",B186-Calculo!$B$6/Calculo!$B$8)</f>
        <v/>
      </c>
      <c r="C187" s="11" t="str">
        <f aca="false">IF(A187="","",Calculo!$B$6/Calculo!$B$8+B187*Calculo!$B$7/100)</f>
        <v/>
      </c>
      <c r="D187" s="11" t="str">
        <f aca="false">IF(A187="","",D186-(Calculo!$B$10-D186*Calculo!$B$7/100))</f>
        <v/>
      </c>
      <c r="E187" s="11" t="str">
        <f aca="false">IF(A187="","",Calculo!$B$10)</f>
        <v/>
      </c>
    </row>
    <row r="188" customFormat="false" ht="15" hidden="false" customHeight="false" outlineLevel="0" collapsed="false">
      <c r="A188" s="0" t="str">
        <f aca="false">IF(187&lt;=Calculo!$B$8,187,"")</f>
        <v/>
      </c>
      <c r="B188" s="11" t="str">
        <f aca="false">IF(A188="","",B187-Calculo!$B$6/Calculo!$B$8)</f>
        <v/>
      </c>
      <c r="C188" s="11" t="str">
        <f aca="false">IF(A188="","",Calculo!$B$6/Calculo!$B$8+B188*Calculo!$B$7/100)</f>
        <v/>
      </c>
      <c r="D188" s="11" t="str">
        <f aca="false">IF(A188="","",D187-(Calculo!$B$10-D187*Calculo!$B$7/100))</f>
        <v/>
      </c>
      <c r="E188" s="11" t="str">
        <f aca="false">IF(A188="","",Calculo!$B$10)</f>
        <v/>
      </c>
    </row>
    <row r="189" customFormat="false" ht="15" hidden="false" customHeight="false" outlineLevel="0" collapsed="false">
      <c r="A189" s="0" t="str">
        <f aca="false">IF(188&lt;=Calculo!$B$8,188,"")</f>
        <v/>
      </c>
      <c r="B189" s="11" t="str">
        <f aca="false">IF(A189="","",B188-Calculo!$B$6/Calculo!$B$8)</f>
        <v/>
      </c>
      <c r="C189" s="11" t="str">
        <f aca="false">IF(A189="","",Calculo!$B$6/Calculo!$B$8+B189*Calculo!$B$7/100)</f>
        <v/>
      </c>
      <c r="D189" s="11" t="str">
        <f aca="false">IF(A189="","",D188-(Calculo!$B$10-D188*Calculo!$B$7/100))</f>
        <v/>
      </c>
      <c r="E189" s="11" t="str">
        <f aca="false">IF(A189="","",Calculo!$B$10)</f>
        <v/>
      </c>
    </row>
    <row r="190" customFormat="false" ht="15" hidden="false" customHeight="false" outlineLevel="0" collapsed="false">
      <c r="A190" s="0" t="str">
        <f aca="false">IF(189&lt;=Calculo!$B$8,189,"")</f>
        <v/>
      </c>
      <c r="B190" s="11" t="str">
        <f aca="false">IF(A190="","",B189-Calculo!$B$6/Calculo!$B$8)</f>
        <v/>
      </c>
      <c r="C190" s="11" t="str">
        <f aca="false">IF(A190="","",Calculo!$B$6/Calculo!$B$8+B190*Calculo!$B$7/100)</f>
        <v/>
      </c>
      <c r="D190" s="11" t="str">
        <f aca="false">IF(A190="","",D189-(Calculo!$B$10-D189*Calculo!$B$7/100))</f>
        <v/>
      </c>
      <c r="E190" s="11" t="str">
        <f aca="false">IF(A190="","",Calculo!$B$10)</f>
        <v/>
      </c>
    </row>
    <row r="191" customFormat="false" ht="15" hidden="false" customHeight="false" outlineLevel="0" collapsed="false">
      <c r="A191" s="0" t="str">
        <f aca="false">IF(190&lt;=Calculo!$B$8,190,"")</f>
        <v/>
      </c>
      <c r="B191" s="11" t="str">
        <f aca="false">IF(A191="","",B190-Calculo!$B$6/Calculo!$B$8)</f>
        <v/>
      </c>
      <c r="C191" s="11" t="str">
        <f aca="false">IF(A191="","",Calculo!$B$6/Calculo!$B$8+B191*Calculo!$B$7/100)</f>
        <v/>
      </c>
      <c r="D191" s="11" t="str">
        <f aca="false">IF(A191="","",D190-(Calculo!$B$10-D190*Calculo!$B$7/100))</f>
        <v/>
      </c>
      <c r="E191" s="11" t="str">
        <f aca="false">IF(A191="","",Calculo!$B$10)</f>
        <v/>
      </c>
    </row>
    <row r="192" customFormat="false" ht="15" hidden="false" customHeight="false" outlineLevel="0" collapsed="false">
      <c r="A192" s="0" t="str">
        <f aca="false">IF(191&lt;=Calculo!$B$8,191,"")</f>
        <v/>
      </c>
      <c r="B192" s="11" t="str">
        <f aca="false">IF(A192="","",B191-Calculo!$B$6/Calculo!$B$8)</f>
        <v/>
      </c>
      <c r="C192" s="11" t="str">
        <f aca="false">IF(A192="","",Calculo!$B$6/Calculo!$B$8+B192*Calculo!$B$7/100)</f>
        <v/>
      </c>
      <c r="D192" s="11" t="str">
        <f aca="false">IF(A192="","",D191-(Calculo!$B$10-D191*Calculo!$B$7/100))</f>
        <v/>
      </c>
      <c r="E192" s="11" t="str">
        <f aca="false">IF(A192="","",Calculo!$B$10)</f>
        <v/>
      </c>
    </row>
    <row r="193" customFormat="false" ht="15" hidden="false" customHeight="false" outlineLevel="0" collapsed="false">
      <c r="A193" s="0" t="str">
        <f aca="false">IF(192&lt;=Calculo!$B$8,192,"")</f>
        <v/>
      </c>
      <c r="B193" s="11" t="str">
        <f aca="false">IF(A193="","",B192-Calculo!$B$6/Calculo!$B$8)</f>
        <v/>
      </c>
      <c r="C193" s="11" t="str">
        <f aca="false">IF(A193="","",Calculo!$B$6/Calculo!$B$8+B193*Calculo!$B$7/100)</f>
        <v/>
      </c>
      <c r="D193" s="11" t="str">
        <f aca="false">IF(A193="","",D192-(Calculo!$B$10-D192*Calculo!$B$7/100))</f>
        <v/>
      </c>
      <c r="E193" s="11" t="str">
        <f aca="false">IF(A193="","",Calculo!$B$10)</f>
        <v/>
      </c>
    </row>
    <row r="194" customFormat="false" ht="15" hidden="false" customHeight="false" outlineLevel="0" collapsed="false">
      <c r="A194" s="0" t="str">
        <f aca="false">IF(193&lt;=Calculo!$B$8,193,"")</f>
        <v/>
      </c>
      <c r="B194" s="11" t="str">
        <f aca="false">IF(A194="","",B193-Calculo!$B$6/Calculo!$B$8)</f>
        <v/>
      </c>
      <c r="C194" s="11" t="str">
        <f aca="false">IF(A194="","",Calculo!$B$6/Calculo!$B$8+B194*Calculo!$B$7/100)</f>
        <v/>
      </c>
      <c r="D194" s="11" t="str">
        <f aca="false">IF(A194="","",D193-(Calculo!$B$10-D193*Calculo!$B$7/100))</f>
        <v/>
      </c>
      <c r="E194" s="11" t="str">
        <f aca="false">IF(A194="","",Calculo!$B$10)</f>
        <v/>
      </c>
    </row>
    <row r="195" customFormat="false" ht="15" hidden="false" customHeight="false" outlineLevel="0" collapsed="false">
      <c r="A195" s="0" t="str">
        <f aca="false">IF(194&lt;=Calculo!$B$8,194,"")</f>
        <v/>
      </c>
      <c r="B195" s="11" t="str">
        <f aca="false">IF(A195="","",B194-Calculo!$B$6/Calculo!$B$8)</f>
        <v/>
      </c>
      <c r="C195" s="11" t="str">
        <f aca="false">IF(A195="","",Calculo!$B$6/Calculo!$B$8+B195*Calculo!$B$7/100)</f>
        <v/>
      </c>
      <c r="D195" s="11" t="str">
        <f aca="false">IF(A195="","",D194-(Calculo!$B$10-D194*Calculo!$B$7/100))</f>
        <v/>
      </c>
      <c r="E195" s="11" t="str">
        <f aca="false">IF(A195="","",Calculo!$B$10)</f>
        <v/>
      </c>
    </row>
    <row r="196" customFormat="false" ht="15" hidden="false" customHeight="false" outlineLevel="0" collapsed="false">
      <c r="A196" s="0" t="str">
        <f aca="false">IF(195&lt;=Calculo!$B$8,195,"")</f>
        <v/>
      </c>
      <c r="B196" s="11" t="str">
        <f aca="false">IF(A196="","",B195-Calculo!$B$6/Calculo!$B$8)</f>
        <v/>
      </c>
      <c r="C196" s="11" t="str">
        <f aca="false">IF(A196="","",Calculo!$B$6/Calculo!$B$8+B196*Calculo!$B$7/100)</f>
        <v/>
      </c>
      <c r="D196" s="11" t="str">
        <f aca="false">IF(A196="","",D195-(Calculo!$B$10-D195*Calculo!$B$7/100))</f>
        <v/>
      </c>
      <c r="E196" s="11" t="str">
        <f aca="false">IF(A196="","",Calculo!$B$10)</f>
        <v/>
      </c>
    </row>
    <row r="197" customFormat="false" ht="15" hidden="false" customHeight="false" outlineLevel="0" collapsed="false">
      <c r="A197" s="0" t="str">
        <f aca="false">IF(196&lt;=Calculo!$B$8,196,"")</f>
        <v/>
      </c>
      <c r="B197" s="11" t="str">
        <f aca="false">IF(A197="","",B196-Calculo!$B$6/Calculo!$B$8)</f>
        <v/>
      </c>
      <c r="C197" s="11" t="str">
        <f aca="false">IF(A197="","",Calculo!$B$6/Calculo!$B$8+B197*Calculo!$B$7/100)</f>
        <v/>
      </c>
      <c r="D197" s="11" t="str">
        <f aca="false">IF(A197="","",D196-(Calculo!$B$10-D196*Calculo!$B$7/100))</f>
        <v/>
      </c>
      <c r="E197" s="11" t="str">
        <f aca="false">IF(A197="","",Calculo!$B$10)</f>
        <v/>
      </c>
    </row>
    <row r="198" customFormat="false" ht="15" hidden="false" customHeight="false" outlineLevel="0" collapsed="false">
      <c r="A198" s="0" t="str">
        <f aca="false">IF(197&lt;=Calculo!$B$8,197,"")</f>
        <v/>
      </c>
      <c r="B198" s="11" t="str">
        <f aca="false">IF(A198="","",B197-Calculo!$B$6/Calculo!$B$8)</f>
        <v/>
      </c>
      <c r="C198" s="11" t="str">
        <f aca="false">IF(A198="","",Calculo!$B$6/Calculo!$B$8+B198*Calculo!$B$7/100)</f>
        <v/>
      </c>
      <c r="D198" s="11" t="str">
        <f aca="false">IF(A198="","",D197-(Calculo!$B$10-D197*Calculo!$B$7/100))</f>
        <v/>
      </c>
      <c r="E198" s="11" t="str">
        <f aca="false">IF(A198="","",Calculo!$B$10)</f>
        <v/>
      </c>
    </row>
    <row r="199" customFormat="false" ht="15" hidden="false" customHeight="false" outlineLevel="0" collapsed="false">
      <c r="A199" s="0" t="str">
        <f aca="false">IF(198&lt;=Calculo!$B$8,198,"")</f>
        <v/>
      </c>
      <c r="B199" s="11" t="str">
        <f aca="false">IF(A199="","",B198-Calculo!$B$6/Calculo!$B$8)</f>
        <v/>
      </c>
      <c r="C199" s="11" t="str">
        <f aca="false">IF(A199="","",Calculo!$B$6/Calculo!$B$8+B199*Calculo!$B$7/100)</f>
        <v/>
      </c>
      <c r="D199" s="11" t="str">
        <f aca="false">IF(A199="","",D198-(Calculo!$B$10-D198*Calculo!$B$7/100))</f>
        <v/>
      </c>
      <c r="E199" s="11" t="str">
        <f aca="false">IF(A199="","",Calculo!$B$10)</f>
        <v/>
      </c>
    </row>
    <row r="200" customFormat="false" ht="15" hidden="false" customHeight="false" outlineLevel="0" collapsed="false">
      <c r="A200" s="0" t="str">
        <f aca="false">IF(199&lt;=Calculo!$B$8,199,"")</f>
        <v/>
      </c>
      <c r="B200" s="11" t="str">
        <f aca="false">IF(A200="","",B199-Calculo!$B$6/Calculo!$B$8)</f>
        <v/>
      </c>
      <c r="C200" s="11" t="str">
        <f aca="false">IF(A200="","",Calculo!$B$6/Calculo!$B$8+B200*Calculo!$B$7/100)</f>
        <v/>
      </c>
      <c r="D200" s="11" t="str">
        <f aca="false">IF(A200="","",D199-(Calculo!$B$10-D199*Calculo!$B$7/100))</f>
        <v/>
      </c>
      <c r="E200" s="11" t="str">
        <f aca="false">IF(A200="","",Calculo!$B$10)</f>
        <v/>
      </c>
    </row>
    <row r="201" customFormat="false" ht="15" hidden="false" customHeight="false" outlineLevel="0" collapsed="false">
      <c r="A201" s="0" t="str">
        <f aca="false">IF(200&lt;=Calculo!$B$8,200,"")</f>
        <v/>
      </c>
      <c r="B201" s="11" t="str">
        <f aca="false">IF(A201="","",B200-Calculo!$B$6/Calculo!$B$8)</f>
        <v/>
      </c>
      <c r="C201" s="11" t="str">
        <f aca="false">IF(A201="","",Calculo!$B$6/Calculo!$B$8+B201*Calculo!$B$7/100)</f>
        <v/>
      </c>
      <c r="D201" s="11" t="str">
        <f aca="false">IF(A201="","",D200-(Calculo!$B$10-D200*Calculo!$B$7/100))</f>
        <v/>
      </c>
      <c r="E201" s="11" t="str">
        <f aca="false">IF(A201="","",Calculo!$B$10)</f>
        <v/>
      </c>
    </row>
    <row r="202" customFormat="false" ht="15" hidden="false" customHeight="false" outlineLevel="0" collapsed="false">
      <c r="A202" s="0" t="str">
        <f aca="false">IF(201&lt;=Calculo!$B$8,201,"")</f>
        <v/>
      </c>
      <c r="B202" s="11" t="str">
        <f aca="false">IF(A202="","",B201-Calculo!$B$6/Calculo!$B$8)</f>
        <v/>
      </c>
      <c r="C202" s="11" t="str">
        <f aca="false">IF(A202="","",Calculo!$B$6/Calculo!$B$8+B202*Calculo!$B$7/100)</f>
        <v/>
      </c>
      <c r="D202" s="11" t="str">
        <f aca="false">IF(A202="","",D201-(Calculo!$B$10-D201*Calculo!$B$7/100))</f>
        <v/>
      </c>
      <c r="E202" s="11" t="str">
        <f aca="false">IF(A202="","",Calculo!$B$10)</f>
        <v/>
      </c>
    </row>
    <row r="203" customFormat="false" ht="15" hidden="false" customHeight="false" outlineLevel="0" collapsed="false">
      <c r="A203" s="0" t="str">
        <f aca="false">IF(202&lt;=Calculo!$B$8,202,"")</f>
        <v/>
      </c>
      <c r="B203" s="11" t="str">
        <f aca="false">IF(A203="","",B202-Calculo!$B$6/Calculo!$B$8)</f>
        <v/>
      </c>
      <c r="C203" s="11" t="str">
        <f aca="false">IF(A203="","",Calculo!$B$6/Calculo!$B$8+B203*Calculo!$B$7/100)</f>
        <v/>
      </c>
      <c r="D203" s="11" t="str">
        <f aca="false">IF(A203="","",D202-(Calculo!$B$10-D202*Calculo!$B$7/100))</f>
        <v/>
      </c>
      <c r="E203" s="11" t="str">
        <f aca="false">IF(A203="","",Calculo!$B$10)</f>
        <v/>
      </c>
    </row>
    <row r="204" customFormat="false" ht="15" hidden="false" customHeight="false" outlineLevel="0" collapsed="false">
      <c r="A204" s="0" t="str">
        <f aca="false">IF(203&lt;=Calculo!$B$8,203,"")</f>
        <v/>
      </c>
      <c r="B204" s="11" t="str">
        <f aca="false">IF(A204="","",B203-Calculo!$B$6/Calculo!$B$8)</f>
        <v/>
      </c>
      <c r="C204" s="11" t="str">
        <f aca="false">IF(A204="","",Calculo!$B$6/Calculo!$B$8+B204*Calculo!$B$7/100)</f>
        <v/>
      </c>
      <c r="D204" s="11" t="str">
        <f aca="false">IF(A204="","",D203-(Calculo!$B$10-D203*Calculo!$B$7/100))</f>
        <v/>
      </c>
      <c r="E204" s="11" t="str">
        <f aca="false">IF(A204="","",Calculo!$B$10)</f>
        <v/>
      </c>
    </row>
    <row r="205" customFormat="false" ht="15" hidden="false" customHeight="false" outlineLevel="0" collapsed="false">
      <c r="A205" s="0" t="str">
        <f aca="false">IF(204&lt;=Calculo!$B$8,204,"")</f>
        <v/>
      </c>
      <c r="B205" s="11" t="str">
        <f aca="false">IF(A205="","",B204-Calculo!$B$6/Calculo!$B$8)</f>
        <v/>
      </c>
      <c r="C205" s="11" t="str">
        <f aca="false">IF(A205="","",Calculo!$B$6/Calculo!$B$8+B205*Calculo!$B$7/100)</f>
        <v/>
      </c>
      <c r="D205" s="11" t="str">
        <f aca="false">IF(A205="","",D204-(Calculo!$B$10-D204*Calculo!$B$7/100))</f>
        <v/>
      </c>
      <c r="E205" s="11" t="str">
        <f aca="false">IF(A205="","",Calculo!$B$10)</f>
        <v/>
      </c>
    </row>
    <row r="206" customFormat="false" ht="15" hidden="false" customHeight="false" outlineLevel="0" collapsed="false">
      <c r="A206" s="0" t="str">
        <f aca="false">IF(205&lt;=Calculo!$B$8,205,"")</f>
        <v/>
      </c>
      <c r="B206" s="11" t="str">
        <f aca="false">IF(A206="","",B205-Calculo!$B$6/Calculo!$B$8)</f>
        <v/>
      </c>
      <c r="C206" s="11" t="str">
        <f aca="false">IF(A206="","",Calculo!$B$6/Calculo!$B$8+B206*Calculo!$B$7/100)</f>
        <v/>
      </c>
      <c r="D206" s="11" t="str">
        <f aca="false">IF(A206="","",D205-(Calculo!$B$10-D205*Calculo!$B$7/100))</f>
        <v/>
      </c>
      <c r="E206" s="11" t="str">
        <f aca="false">IF(A206="","",Calculo!$B$10)</f>
        <v/>
      </c>
    </row>
    <row r="207" customFormat="false" ht="15" hidden="false" customHeight="false" outlineLevel="0" collapsed="false">
      <c r="A207" s="0" t="str">
        <f aca="false">IF(206&lt;=Calculo!$B$8,206,"")</f>
        <v/>
      </c>
      <c r="B207" s="11" t="str">
        <f aca="false">IF(A207="","",B206-Calculo!$B$6/Calculo!$B$8)</f>
        <v/>
      </c>
      <c r="C207" s="11" t="str">
        <f aca="false">IF(A207="","",Calculo!$B$6/Calculo!$B$8+B207*Calculo!$B$7/100)</f>
        <v/>
      </c>
      <c r="D207" s="11" t="str">
        <f aca="false">IF(A207="","",D206-(Calculo!$B$10-D206*Calculo!$B$7/100))</f>
        <v/>
      </c>
      <c r="E207" s="11" t="str">
        <f aca="false">IF(A207="","",Calculo!$B$10)</f>
        <v/>
      </c>
    </row>
    <row r="208" customFormat="false" ht="15" hidden="false" customHeight="false" outlineLevel="0" collapsed="false">
      <c r="A208" s="0" t="str">
        <f aca="false">IF(207&lt;=Calculo!$B$8,207,"")</f>
        <v/>
      </c>
      <c r="B208" s="11" t="str">
        <f aca="false">IF(A208="","",B207-Calculo!$B$6/Calculo!$B$8)</f>
        <v/>
      </c>
      <c r="C208" s="11" t="str">
        <f aca="false">IF(A208="","",Calculo!$B$6/Calculo!$B$8+B208*Calculo!$B$7/100)</f>
        <v/>
      </c>
      <c r="D208" s="11" t="str">
        <f aca="false">IF(A208="","",D207-(Calculo!$B$10-D207*Calculo!$B$7/100))</f>
        <v/>
      </c>
      <c r="E208" s="11" t="str">
        <f aca="false">IF(A208="","",Calculo!$B$10)</f>
        <v/>
      </c>
    </row>
    <row r="209" customFormat="false" ht="15" hidden="false" customHeight="false" outlineLevel="0" collapsed="false">
      <c r="A209" s="0" t="str">
        <f aca="false">IF(208&lt;=Calculo!$B$8,208,"")</f>
        <v/>
      </c>
      <c r="B209" s="11" t="str">
        <f aca="false">IF(A209="","",B208-Calculo!$B$6/Calculo!$B$8)</f>
        <v/>
      </c>
      <c r="C209" s="11" t="str">
        <f aca="false">IF(A209="","",Calculo!$B$6/Calculo!$B$8+B209*Calculo!$B$7/100)</f>
        <v/>
      </c>
      <c r="D209" s="11" t="str">
        <f aca="false">IF(A209="","",D208-(Calculo!$B$10-D208*Calculo!$B$7/100))</f>
        <v/>
      </c>
      <c r="E209" s="11" t="str">
        <f aca="false">IF(A209="","",Calculo!$B$10)</f>
        <v/>
      </c>
    </row>
    <row r="210" customFormat="false" ht="15" hidden="false" customHeight="false" outlineLevel="0" collapsed="false">
      <c r="A210" s="0" t="str">
        <f aca="false">IF(209&lt;=Calculo!$B$8,209,"")</f>
        <v/>
      </c>
      <c r="B210" s="11" t="str">
        <f aca="false">IF(A210="","",B209-Calculo!$B$6/Calculo!$B$8)</f>
        <v/>
      </c>
      <c r="C210" s="11" t="str">
        <f aca="false">IF(A210="","",Calculo!$B$6/Calculo!$B$8+B210*Calculo!$B$7/100)</f>
        <v/>
      </c>
      <c r="D210" s="11" t="str">
        <f aca="false">IF(A210="","",D209-(Calculo!$B$10-D209*Calculo!$B$7/100))</f>
        <v/>
      </c>
      <c r="E210" s="11" t="str">
        <f aca="false">IF(A210="","",Calculo!$B$10)</f>
        <v/>
      </c>
    </row>
    <row r="211" customFormat="false" ht="15" hidden="false" customHeight="false" outlineLevel="0" collapsed="false">
      <c r="A211" s="0" t="str">
        <f aca="false">IF(210&lt;=Calculo!$B$8,210,"")</f>
        <v/>
      </c>
      <c r="B211" s="11" t="str">
        <f aca="false">IF(A211="","",B210-Calculo!$B$6/Calculo!$B$8)</f>
        <v/>
      </c>
      <c r="C211" s="11" t="str">
        <f aca="false">IF(A211="","",Calculo!$B$6/Calculo!$B$8+B211*Calculo!$B$7/100)</f>
        <v/>
      </c>
      <c r="D211" s="11" t="str">
        <f aca="false">IF(A211="","",D210-(Calculo!$B$10-D210*Calculo!$B$7/100))</f>
        <v/>
      </c>
      <c r="E211" s="11" t="str">
        <f aca="false">IF(A211="","",Calculo!$B$10)</f>
        <v/>
      </c>
    </row>
    <row r="212" customFormat="false" ht="15" hidden="false" customHeight="false" outlineLevel="0" collapsed="false">
      <c r="A212" s="0" t="str">
        <f aca="false">IF(211&lt;=Calculo!$B$8,211,"")</f>
        <v/>
      </c>
      <c r="B212" s="11" t="str">
        <f aca="false">IF(A212="","",B211-Calculo!$B$6/Calculo!$B$8)</f>
        <v/>
      </c>
      <c r="C212" s="11" t="str">
        <f aca="false">IF(A212="","",Calculo!$B$6/Calculo!$B$8+B212*Calculo!$B$7/100)</f>
        <v/>
      </c>
      <c r="D212" s="11" t="str">
        <f aca="false">IF(A212="","",D211-(Calculo!$B$10-D211*Calculo!$B$7/100))</f>
        <v/>
      </c>
      <c r="E212" s="11" t="str">
        <f aca="false">IF(A212="","",Calculo!$B$10)</f>
        <v/>
      </c>
    </row>
    <row r="213" customFormat="false" ht="15" hidden="false" customHeight="false" outlineLevel="0" collapsed="false">
      <c r="A213" s="0" t="str">
        <f aca="false">IF(212&lt;=Calculo!$B$8,212,"")</f>
        <v/>
      </c>
      <c r="B213" s="11" t="str">
        <f aca="false">IF(A213="","",B212-Calculo!$B$6/Calculo!$B$8)</f>
        <v/>
      </c>
      <c r="C213" s="11" t="str">
        <f aca="false">IF(A213="","",Calculo!$B$6/Calculo!$B$8+B213*Calculo!$B$7/100)</f>
        <v/>
      </c>
      <c r="D213" s="11" t="str">
        <f aca="false">IF(A213="","",D212-(Calculo!$B$10-D212*Calculo!$B$7/100))</f>
        <v/>
      </c>
      <c r="E213" s="11" t="str">
        <f aca="false">IF(A213="","",Calculo!$B$10)</f>
        <v/>
      </c>
    </row>
    <row r="214" customFormat="false" ht="15" hidden="false" customHeight="false" outlineLevel="0" collapsed="false">
      <c r="A214" s="0" t="str">
        <f aca="false">IF(213&lt;=Calculo!$B$8,213,"")</f>
        <v/>
      </c>
      <c r="B214" s="11" t="str">
        <f aca="false">IF(A214="","",B213-Calculo!$B$6/Calculo!$B$8)</f>
        <v/>
      </c>
      <c r="C214" s="11" t="str">
        <f aca="false">IF(A214="","",Calculo!$B$6/Calculo!$B$8+B214*Calculo!$B$7/100)</f>
        <v/>
      </c>
      <c r="D214" s="11" t="str">
        <f aca="false">IF(A214="","",D213-(Calculo!$B$10-D213*Calculo!$B$7/100))</f>
        <v/>
      </c>
      <c r="E214" s="11" t="str">
        <f aca="false">IF(A214="","",Calculo!$B$10)</f>
        <v/>
      </c>
    </row>
    <row r="215" customFormat="false" ht="15" hidden="false" customHeight="false" outlineLevel="0" collapsed="false">
      <c r="A215" s="0" t="str">
        <f aca="false">IF(214&lt;=Calculo!$B$8,214,"")</f>
        <v/>
      </c>
      <c r="B215" s="11" t="str">
        <f aca="false">IF(A215="","",B214-Calculo!$B$6/Calculo!$B$8)</f>
        <v/>
      </c>
      <c r="C215" s="11" t="str">
        <f aca="false">IF(A215="","",Calculo!$B$6/Calculo!$B$8+B215*Calculo!$B$7/100)</f>
        <v/>
      </c>
      <c r="D215" s="11" t="str">
        <f aca="false">IF(A215="","",D214-(Calculo!$B$10-D214*Calculo!$B$7/100))</f>
        <v/>
      </c>
      <c r="E215" s="11" t="str">
        <f aca="false">IF(A215="","",Calculo!$B$10)</f>
        <v/>
      </c>
    </row>
    <row r="216" customFormat="false" ht="15" hidden="false" customHeight="false" outlineLevel="0" collapsed="false">
      <c r="A216" s="0" t="str">
        <f aca="false">IF(215&lt;=Calculo!$B$8,215,"")</f>
        <v/>
      </c>
      <c r="B216" s="11" t="str">
        <f aca="false">IF(A216="","",B215-Calculo!$B$6/Calculo!$B$8)</f>
        <v/>
      </c>
      <c r="C216" s="11" t="str">
        <f aca="false">IF(A216="","",Calculo!$B$6/Calculo!$B$8+B216*Calculo!$B$7/100)</f>
        <v/>
      </c>
      <c r="D216" s="11" t="str">
        <f aca="false">IF(A216="","",D215-(Calculo!$B$10-D215*Calculo!$B$7/100))</f>
        <v/>
      </c>
      <c r="E216" s="11" t="str">
        <f aca="false">IF(A216="","",Calculo!$B$10)</f>
        <v/>
      </c>
    </row>
    <row r="217" customFormat="false" ht="15" hidden="false" customHeight="false" outlineLevel="0" collapsed="false">
      <c r="A217" s="0" t="str">
        <f aca="false">IF(216&lt;=Calculo!$B$8,216,"")</f>
        <v/>
      </c>
      <c r="B217" s="11" t="str">
        <f aca="false">IF(A217="","",B216-Calculo!$B$6/Calculo!$B$8)</f>
        <v/>
      </c>
      <c r="C217" s="11" t="str">
        <f aca="false">IF(A217="","",Calculo!$B$6/Calculo!$B$8+B217*Calculo!$B$7/100)</f>
        <v/>
      </c>
      <c r="D217" s="11" t="str">
        <f aca="false">IF(A217="","",D216-(Calculo!$B$10-D216*Calculo!$B$7/100))</f>
        <v/>
      </c>
      <c r="E217" s="11" t="str">
        <f aca="false">IF(A217="","",Calculo!$B$10)</f>
        <v/>
      </c>
    </row>
    <row r="218" customFormat="false" ht="15" hidden="false" customHeight="false" outlineLevel="0" collapsed="false">
      <c r="A218" s="0" t="str">
        <f aca="false">IF(217&lt;=Calculo!$B$8,217,"")</f>
        <v/>
      </c>
      <c r="B218" s="11" t="str">
        <f aca="false">IF(A218="","",B217-Calculo!$B$6/Calculo!$B$8)</f>
        <v/>
      </c>
      <c r="C218" s="11" t="str">
        <f aca="false">IF(A218="","",Calculo!$B$6/Calculo!$B$8+B218*Calculo!$B$7/100)</f>
        <v/>
      </c>
      <c r="D218" s="11" t="str">
        <f aca="false">IF(A218="","",D217-(Calculo!$B$10-D217*Calculo!$B$7/100))</f>
        <v/>
      </c>
      <c r="E218" s="11" t="str">
        <f aca="false">IF(A218="","",Calculo!$B$10)</f>
        <v/>
      </c>
    </row>
    <row r="219" customFormat="false" ht="15" hidden="false" customHeight="false" outlineLevel="0" collapsed="false">
      <c r="A219" s="0" t="str">
        <f aca="false">IF(218&lt;=Calculo!$B$8,218,"")</f>
        <v/>
      </c>
      <c r="B219" s="11" t="str">
        <f aca="false">IF(A219="","",B218-Calculo!$B$6/Calculo!$B$8)</f>
        <v/>
      </c>
      <c r="C219" s="11" t="str">
        <f aca="false">IF(A219="","",Calculo!$B$6/Calculo!$B$8+B219*Calculo!$B$7/100)</f>
        <v/>
      </c>
      <c r="D219" s="11" t="str">
        <f aca="false">IF(A219="","",D218-(Calculo!$B$10-D218*Calculo!$B$7/100))</f>
        <v/>
      </c>
      <c r="E219" s="11" t="str">
        <f aca="false">IF(A219="","",Calculo!$B$10)</f>
        <v/>
      </c>
    </row>
    <row r="220" customFormat="false" ht="15" hidden="false" customHeight="false" outlineLevel="0" collapsed="false">
      <c r="A220" s="0" t="str">
        <f aca="false">IF(219&lt;=Calculo!$B$8,219,"")</f>
        <v/>
      </c>
      <c r="B220" s="11" t="str">
        <f aca="false">IF(A220="","",B219-Calculo!$B$6/Calculo!$B$8)</f>
        <v/>
      </c>
      <c r="C220" s="11" t="str">
        <f aca="false">IF(A220="","",Calculo!$B$6/Calculo!$B$8+B220*Calculo!$B$7/100)</f>
        <v/>
      </c>
      <c r="D220" s="11" t="str">
        <f aca="false">IF(A220="","",D219-(Calculo!$B$10-D219*Calculo!$B$7/100))</f>
        <v/>
      </c>
      <c r="E220" s="11" t="str">
        <f aca="false">IF(A220="","",Calculo!$B$10)</f>
        <v/>
      </c>
    </row>
    <row r="221" customFormat="false" ht="15" hidden="false" customHeight="false" outlineLevel="0" collapsed="false">
      <c r="A221" s="0" t="str">
        <f aca="false">IF(220&lt;=Calculo!$B$8,220,"")</f>
        <v/>
      </c>
      <c r="B221" s="11" t="str">
        <f aca="false">IF(A221="","",B220-Calculo!$B$6/Calculo!$B$8)</f>
        <v/>
      </c>
      <c r="C221" s="11" t="str">
        <f aca="false">IF(A221="","",Calculo!$B$6/Calculo!$B$8+B221*Calculo!$B$7/100)</f>
        <v/>
      </c>
      <c r="D221" s="11" t="str">
        <f aca="false">IF(A221="","",D220-(Calculo!$B$10-D220*Calculo!$B$7/100))</f>
        <v/>
      </c>
      <c r="E221" s="11" t="str">
        <f aca="false">IF(A221="","",Calculo!$B$10)</f>
        <v/>
      </c>
    </row>
    <row r="222" customFormat="false" ht="15" hidden="false" customHeight="false" outlineLevel="0" collapsed="false">
      <c r="A222" s="0" t="str">
        <f aca="false">IF(221&lt;=Calculo!$B$8,221,"")</f>
        <v/>
      </c>
      <c r="B222" s="11" t="str">
        <f aca="false">IF(A222="","",B221-Calculo!$B$6/Calculo!$B$8)</f>
        <v/>
      </c>
      <c r="C222" s="11" t="str">
        <f aca="false">IF(A222="","",Calculo!$B$6/Calculo!$B$8+B222*Calculo!$B$7/100)</f>
        <v/>
      </c>
      <c r="D222" s="11" t="str">
        <f aca="false">IF(A222="","",D221-(Calculo!$B$10-D221*Calculo!$B$7/100))</f>
        <v/>
      </c>
      <c r="E222" s="11" t="str">
        <f aca="false">IF(A222="","",Calculo!$B$10)</f>
        <v/>
      </c>
    </row>
    <row r="223" customFormat="false" ht="15" hidden="false" customHeight="false" outlineLevel="0" collapsed="false">
      <c r="A223" s="0" t="str">
        <f aca="false">IF(222&lt;=Calculo!$B$8,222,"")</f>
        <v/>
      </c>
      <c r="B223" s="11" t="str">
        <f aca="false">IF(A223="","",B222-Calculo!$B$6/Calculo!$B$8)</f>
        <v/>
      </c>
      <c r="C223" s="11" t="str">
        <f aca="false">IF(A223="","",Calculo!$B$6/Calculo!$B$8+B223*Calculo!$B$7/100)</f>
        <v/>
      </c>
      <c r="D223" s="11" t="str">
        <f aca="false">IF(A223="","",D222-(Calculo!$B$10-D222*Calculo!$B$7/100))</f>
        <v/>
      </c>
      <c r="E223" s="11" t="str">
        <f aca="false">IF(A223="","",Calculo!$B$10)</f>
        <v/>
      </c>
    </row>
    <row r="224" customFormat="false" ht="15" hidden="false" customHeight="false" outlineLevel="0" collapsed="false">
      <c r="A224" s="0" t="str">
        <f aca="false">IF(223&lt;=Calculo!$B$8,223,"")</f>
        <v/>
      </c>
      <c r="B224" s="11" t="str">
        <f aca="false">IF(A224="","",B223-Calculo!$B$6/Calculo!$B$8)</f>
        <v/>
      </c>
      <c r="C224" s="11" t="str">
        <f aca="false">IF(A224="","",Calculo!$B$6/Calculo!$B$8+B224*Calculo!$B$7/100)</f>
        <v/>
      </c>
      <c r="D224" s="11" t="str">
        <f aca="false">IF(A224="","",D223-(Calculo!$B$10-D223*Calculo!$B$7/100))</f>
        <v/>
      </c>
      <c r="E224" s="11" t="str">
        <f aca="false">IF(A224="","",Calculo!$B$10)</f>
        <v/>
      </c>
    </row>
    <row r="225" customFormat="false" ht="15" hidden="false" customHeight="false" outlineLevel="0" collapsed="false">
      <c r="A225" s="0" t="str">
        <f aca="false">IF(224&lt;=Calculo!$B$8,224,"")</f>
        <v/>
      </c>
      <c r="B225" s="11" t="str">
        <f aca="false">IF(A225="","",B224-Calculo!$B$6/Calculo!$B$8)</f>
        <v/>
      </c>
      <c r="C225" s="11" t="str">
        <f aca="false">IF(A225="","",Calculo!$B$6/Calculo!$B$8+B225*Calculo!$B$7/100)</f>
        <v/>
      </c>
      <c r="D225" s="11" t="str">
        <f aca="false">IF(A225="","",D224-(Calculo!$B$10-D224*Calculo!$B$7/100))</f>
        <v/>
      </c>
      <c r="E225" s="11" t="str">
        <f aca="false">IF(A225="","",Calculo!$B$10)</f>
        <v/>
      </c>
    </row>
    <row r="226" customFormat="false" ht="15" hidden="false" customHeight="false" outlineLevel="0" collapsed="false">
      <c r="A226" s="0" t="str">
        <f aca="false">IF(225&lt;=Calculo!$B$8,225,"")</f>
        <v/>
      </c>
      <c r="B226" s="11" t="str">
        <f aca="false">IF(A226="","",B225-Calculo!$B$6/Calculo!$B$8)</f>
        <v/>
      </c>
      <c r="C226" s="11" t="str">
        <f aca="false">IF(A226="","",Calculo!$B$6/Calculo!$B$8+B226*Calculo!$B$7/100)</f>
        <v/>
      </c>
      <c r="D226" s="11" t="str">
        <f aca="false">IF(A226="","",D225-(Calculo!$B$10-D225*Calculo!$B$7/100))</f>
        <v/>
      </c>
      <c r="E226" s="11" t="str">
        <f aca="false">IF(A226="","",Calculo!$B$10)</f>
        <v/>
      </c>
    </row>
    <row r="227" customFormat="false" ht="15" hidden="false" customHeight="false" outlineLevel="0" collapsed="false">
      <c r="A227" s="0" t="str">
        <f aca="false">IF(226&lt;=Calculo!$B$8,226,"")</f>
        <v/>
      </c>
      <c r="B227" s="11" t="str">
        <f aca="false">IF(A227="","",B226-Calculo!$B$6/Calculo!$B$8)</f>
        <v/>
      </c>
      <c r="C227" s="11" t="str">
        <f aca="false">IF(A227="","",Calculo!$B$6/Calculo!$B$8+B227*Calculo!$B$7/100)</f>
        <v/>
      </c>
      <c r="D227" s="11" t="str">
        <f aca="false">IF(A227="","",D226-(Calculo!$B$10-D226*Calculo!$B$7/100))</f>
        <v/>
      </c>
      <c r="E227" s="11" t="str">
        <f aca="false">IF(A227="","",Calculo!$B$10)</f>
        <v/>
      </c>
    </row>
    <row r="228" customFormat="false" ht="15" hidden="false" customHeight="false" outlineLevel="0" collapsed="false">
      <c r="A228" s="0" t="str">
        <f aca="false">IF(227&lt;=Calculo!$B$8,227,"")</f>
        <v/>
      </c>
      <c r="B228" s="11" t="str">
        <f aca="false">IF(A228="","",B227-Calculo!$B$6/Calculo!$B$8)</f>
        <v/>
      </c>
      <c r="C228" s="11" t="str">
        <f aca="false">IF(A228="","",Calculo!$B$6/Calculo!$B$8+B228*Calculo!$B$7/100)</f>
        <v/>
      </c>
      <c r="D228" s="11" t="str">
        <f aca="false">IF(A228="","",D227-(Calculo!$B$10-D227*Calculo!$B$7/100))</f>
        <v/>
      </c>
      <c r="E228" s="11" t="str">
        <f aca="false">IF(A228="","",Calculo!$B$10)</f>
        <v/>
      </c>
    </row>
    <row r="229" customFormat="false" ht="15" hidden="false" customHeight="false" outlineLevel="0" collapsed="false">
      <c r="A229" s="0" t="str">
        <f aca="false">IF(228&lt;=Calculo!$B$8,228,"")</f>
        <v/>
      </c>
      <c r="B229" s="11" t="str">
        <f aca="false">IF(A229="","",B228-Calculo!$B$6/Calculo!$B$8)</f>
        <v/>
      </c>
      <c r="C229" s="11" t="str">
        <f aca="false">IF(A229="","",Calculo!$B$6/Calculo!$B$8+B229*Calculo!$B$7/100)</f>
        <v/>
      </c>
      <c r="D229" s="11" t="str">
        <f aca="false">IF(A229="","",D228-(Calculo!$B$10-D228*Calculo!$B$7/100))</f>
        <v/>
      </c>
      <c r="E229" s="11" t="str">
        <f aca="false">IF(A229="","",Calculo!$B$10)</f>
        <v/>
      </c>
    </row>
    <row r="230" customFormat="false" ht="15" hidden="false" customHeight="false" outlineLevel="0" collapsed="false">
      <c r="A230" s="0" t="str">
        <f aca="false">IF(229&lt;=Calculo!$B$8,229,"")</f>
        <v/>
      </c>
      <c r="B230" s="11" t="str">
        <f aca="false">IF(A230="","",B229-Calculo!$B$6/Calculo!$B$8)</f>
        <v/>
      </c>
      <c r="C230" s="11" t="str">
        <f aca="false">IF(A230="","",Calculo!$B$6/Calculo!$B$8+B230*Calculo!$B$7/100)</f>
        <v/>
      </c>
      <c r="D230" s="11" t="str">
        <f aca="false">IF(A230="","",D229-(Calculo!$B$10-D229*Calculo!$B$7/100))</f>
        <v/>
      </c>
      <c r="E230" s="11" t="str">
        <f aca="false">IF(A230="","",Calculo!$B$10)</f>
        <v/>
      </c>
    </row>
    <row r="231" customFormat="false" ht="15" hidden="false" customHeight="false" outlineLevel="0" collapsed="false">
      <c r="A231" s="0" t="str">
        <f aca="false">IF(230&lt;=Calculo!$B$8,230,"")</f>
        <v/>
      </c>
      <c r="B231" s="11" t="str">
        <f aca="false">IF(A231="","",B230-Calculo!$B$6/Calculo!$B$8)</f>
        <v/>
      </c>
      <c r="C231" s="11" t="str">
        <f aca="false">IF(A231="","",Calculo!$B$6/Calculo!$B$8+B231*Calculo!$B$7/100)</f>
        <v/>
      </c>
      <c r="D231" s="11" t="str">
        <f aca="false">IF(A231="","",D230-(Calculo!$B$10-D230*Calculo!$B$7/100))</f>
        <v/>
      </c>
      <c r="E231" s="11" t="str">
        <f aca="false">IF(A231="","",Calculo!$B$10)</f>
        <v/>
      </c>
    </row>
    <row r="232" customFormat="false" ht="15" hidden="false" customHeight="false" outlineLevel="0" collapsed="false">
      <c r="A232" s="0" t="str">
        <f aca="false">IF(231&lt;=Calculo!$B$8,231,"")</f>
        <v/>
      </c>
      <c r="B232" s="11" t="str">
        <f aca="false">IF(A232="","",B231-Calculo!$B$6/Calculo!$B$8)</f>
        <v/>
      </c>
      <c r="C232" s="11" t="str">
        <f aca="false">IF(A232="","",Calculo!$B$6/Calculo!$B$8+B232*Calculo!$B$7/100)</f>
        <v/>
      </c>
      <c r="D232" s="11" t="str">
        <f aca="false">IF(A232="","",D231-(Calculo!$B$10-D231*Calculo!$B$7/100))</f>
        <v/>
      </c>
      <c r="E232" s="11" t="str">
        <f aca="false">IF(A232="","",Calculo!$B$10)</f>
        <v/>
      </c>
    </row>
    <row r="233" customFormat="false" ht="15" hidden="false" customHeight="false" outlineLevel="0" collapsed="false">
      <c r="A233" s="0" t="str">
        <f aca="false">IF(232&lt;=Calculo!$B$8,232,"")</f>
        <v/>
      </c>
      <c r="B233" s="11" t="str">
        <f aca="false">IF(A233="","",B232-Calculo!$B$6/Calculo!$B$8)</f>
        <v/>
      </c>
      <c r="C233" s="11" t="str">
        <f aca="false">IF(A233="","",Calculo!$B$6/Calculo!$B$8+B233*Calculo!$B$7/100)</f>
        <v/>
      </c>
      <c r="D233" s="11" t="str">
        <f aca="false">IF(A233="","",D232-(Calculo!$B$10-D232*Calculo!$B$7/100))</f>
        <v/>
      </c>
      <c r="E233" s="11" t="str">
        <f aca="false">IF(A233="","",Calculo!$B$10)</f>
        <v/>
      </c>
    </row>
    <row r="234" customFormat="false" ht="15" hidden="false" customHeight="false" outlineLevel="0" collapsed="false">
      <c r="A234" s="0" t="str">
        <f aca="false">IF(233&lt;=Calculo!$B$8,233,"")</f>
        <v/>
      </c>
      <c r="B234" s="11" t="str">
        <f aca="false">IF(A234="","",B233-Calculo!$B$6/Calculo!$B$8)</f>
        <v/>
      </c>
      <c r="C234" s="11" t="str">
        <f aca="false">IF(A234="","",Calculo!$B$6/Calculo!$B$8+B234*Calculo!$B$7/100)</f>
        <v/>
      </c>
      <c r="D234" s="11" t="str">
        <f aca="false">IF(A234="","",D233-(Calculo!$B$10-D233*Calculo!$B$7/100))</f>
        <v/>
      </c>
      <c r="E234" s="11" t="str">
        <f aca="false">IF(A234="","",Calculo!$B$10)</f>
        <v/>
      </c>
    </row>
    <row r="235" customFormat="false" ht="15" hidden="false" customHeight="false" outlineLevel="0" collapsed="false">
      <c r="A235" s="0" t="str">
        <f aca="false">IF(234&lt;=Calculo!$B$8,234,"")</f>
        <v/>
      </c>
      <c r="B235" s="11" t="str">
        <f aca="false">IF(A235="","",B234-Calculo!$B$6/Calculo!$B$8)</f>
        <v/>
      </c>
      <c r="C235" s="11" t="str">
        <f aca="false">IF(A235="","",Calculo!$B$6/Calculo!$B$8+B235*Calculo!$B$7/100)</f>
        <v/>
      </c>
      <c r="D235" s="11" t="str">
        <f aca="false">IF(A235="","",D234-(Calculo!$B$10-D234*Calculo!$B$7/100))</f>
        <v/>
      </c>
      <c r="E235" s="11" t="str">
        <f aca="false">IF(A235="","",Calculo!$B$10)</f>
        <v/>
      </c>
    </row>
    <row r="236" customFormat="false" ht="15" hidden="false" customHeight="false" outlineLevel="0" collapsed="false">
      <c r="A236" s="0" t="str">
        <f aca="false">IF(235&lt;=Calculo!$B$8,235,"")</f>
        <v/>
      </c>
      <c r="B236" s="11" t="str">
        <f aca="false">IF(A236="","",B235-Calculo!$B$6/Calculo!$B$8)</f>
        <v/>
      </c>
      <c r="C236" s="11" t="str">
        <f aca="false">IF(A236="","",Calculo!$B$6/Calculo!$B$8+B236*Calculo!$B$7/100)</f>
        <v/>
      </c>
      <c r="D236" s="11" t="str">
        <f aca="false">IF(A236="","",D235-(Calculo!$B$10-D235*Calculo!$B$7/100))</f>
        <v/>
      </c>
      <c r="E236" s="11" t="str">
        <f aca="false">IF(A236="","",Calculo!$B$10)</f>
        <v/>
      </c>
    </row>
    <row r="237" customFormat="false" ht="15" hidden="false" customHeight="false" outlineLevel="0" collapsed="false">
      <c r="A237" s="0" t="str">
        <f aca="false">IF(236&lt;=Calculo!$B$8,236,"")</f>
        <v/>
      </c>
      <c r="B237" s="11" t="str">
        <f aca="false">IF(A237="","",B236-Calculo!$B$6/Calculo!$B$8)</f>
        <v/>
      </c>
      <c r="C237" s="11" t="str">
        <f aca="false">IF(A237="","",Calculo!$B$6/Calculo!$B$8+B237*Calculo!$B$7/100)</f>
        <v/>
      </c>
      <c r="D237" s="11" t="str">
        <f aca="false">IF(A237="","",D236-(Calculo!$B$10-D236*Calculo!$B$7/100))</f>
        <v/>
      </c>
      <c r="E237" s="11" t="str">
        <f aca="false">IF(A237="","",Calculo!$B$10)</f>
        <v/>
      </c>
    </row>
    <row r="238" customFormat="false" ht="15" hidden="false" customHeight="false" outlineLevel="0" collapsed="false">
      <c r="A238" s="0" t="str">
        <f aca="false">IF(237&lt;=Calculo!$B$8,237,"")</f>
        <v/>
      </c>
      <c r="B238" s="11" t="str">
        <f aca="false">IF(A238="","",B237-Calculo!$B$6/Calculo!$B$8)</f>
        <v/>
      </c>
      <c r="C238" s="11" t="str">
        <f aca="false">IF(A238="","",Calculo!$B$6/Calculo!$B$8+B238*Calculo!$B$7/100)</f>
        <v/>
      </c>
      <c r="D238" s="11" t="str">
        <f aca="false">IF(A238="","",D237-(Calculo!$B$10-D237*Calculo!$B$7/100))</f>
        <v/>
      </c>
      <c r="E238" s="11" t="str">
        <f aca="false">IF(A238="","",Calculo!$B$10)</f>
        <v/>
      </c>
    </row>
    <row r="239" customFormat="false" ht="15" hidden="false" customHeight="false" outlineLevel="0" collapsed="false">
      <c r="A239" s="0" t="str">
        <f aca="false">IF(238&lt;=Calculo!$B$8,238,"")</f>
        <v/>
      </c>
      <c r="B239" s="11" t="str">
        <f aca="false">IF(A239="","",B238-Calculo!$B$6/Calculo!$B$8)</f>
        <v/>
      </c>
      <c r="C239" s="11" t="str">
        <f aca="false">IF(A239="","",Calculo!$B$6/Calculo!$B$8+B239*Calculo!$B$7/100)</f>
        <v/>
      </c>
      <c r="D239" s="11" t="str">
        <f aca="false">IF(A239="","",D238-(Calculo!$B$10-D238*Calculo!$B$7/100))</f>
        <v/>
      </c>
      <c r="E239" s="11" t="str">
        <f aca="false">IF(A239="","",Calculo!$B$10)</f>
        <v/>
      </c>
    </row>
    <row r="240" customFormat="false" ht="15" hidden="false" customHeight="false" outlineLevel="0" collapsed="false">
      <c r="A240" s="0" t="str">
        <f aca="false">IF(239&lt;=Calculo!$B$8,239,"")</f>
        <v/>
      </c>
      <c r="B240" s="11" t="str">
        <f aca="false">IF(A240="","",B239-Calculo!$B$6/Calculo!$B$8)</f>
        <v/>
      </c>
      <c r="C240" s="11" t="str">
        <f aca="false">IF(A240="","",Calculo!$B$6/Calculo!$B$8+B240*Calculo!$B$7/100)</f>
        <v/>
      </c>
      <c r="D240" s="11" t="str">
        <f aca="false">IF(A240="","",D239-(Calculo!$B$10-D239*Calculo!$B$7/100))</f>
        <v/>
      </c>
      <c r="E240" s="11" t="str">
        <f aca="false">IF(A240="","",Calculo!$B$10)</f>
        <v/>
      </c>
    </row>
    <row r="241" customFormat="false" ht="15" hidden="false" customHeight="false" outlineLevel="0" collapsed="false">
      <c r="A241" s="0" t="str">
        <f aca="false">IF(240&lt;=Calculo!$B$8,240,"")</f>
        <v/>
      </c>
      <c r="B241" s="11" t="str">
        <f aca="false">IF(A241="","",B240-Calculo!$B$6/Calculo!$B$8)</f>
        <v/>
      </c>
      <c r="C241" s="11" t="str">
        <f aca="false">IF(A241="","",Calculo!$B$6/Calculo!$B$8+B241*Calculo!$B$7/100)</f>
        <v/>
      </c>
      <c r="D241" s="11" t="str">
        <f aca="false">IF(A241="","",D240-(Calculo!$B$10-D240*Calculo!$B$7/100))</f>
        <v/>
      </c>
      <c r="E241" s="11" t="str">
        <f aca="false">IF(A241="","",Calculo!$B$10)</f>
        <v/>
      </c>
    </row>
    <row r="242" customFormat="false" ht="15" hidden="false" customHeight="false" outlineLevel="0" collapsed="false">
      <c r="A242" s="0" t="str">
        <f aca="false">IF(241&lt;=Calculo!$B$8,241,"")</f>
        <v/>
      </c>
      <c r="B242" s="11" t="str">
        <f aca="false">IF(A242="","",B241-Calculo!$B$6/Calculo!$B$8)</f>
        <v/>
      </c>
      <c r="C242" s="11" t="str">
        <f aca="false">IF(A242="","",Calculo!$B$6/Calculo!$B$8+B242*Calculo!$B$7/100)</f>
        <v/>
      </c>
      <c r="D242" s="11" t="str">
        <f aca="false">IF(A242="","",D241-(Calculo!$B$10-D241*Calculo!$B$7/100))</f>
        <v/>
      </c>
      <c r="E242" s="11" t="str">
        <f aca="false">IF(A242="","",Calculo!$B$10)</f>
        <v/>
      </c>
    </row>
    <row r="243" customFormat="false" ht="15" hidden="false" customHeight="false" outlineLevel="0" collapsed="false">
      <c r="A243" s="0" t="str">
        <f aca="false">IF(242&lt;=Calculo!$B$8,242,"")</f>
        <v/>
      </c>
      <c r="B243" s="11" t="str">
        <f aca="false">IF(A243="","",B242-Calculo!$B$6/Calculo!$B$8)</f>
        <v/>
      </c>
      <c r="C243" s="11" t="str">
        <f aca="false">IF(A243="","",Calculo!$B$6/Calculo!$B$8+B243*Calculo!$B$7/100)</f>
        <v/>
      </c>
      <c r="D243" s="11" t="str">
        <f aca="false">IF(A243="","",D242-(Calculo!$B$10-D242*Calculo!$B$7/100))</f>
        <v/>
      </c>
      <c r="E243" s="11" t="str">
        <f aca="false">IF(A243="","",Calculo!$B$10)</f>
        <v/>
      </c>
    </row>
    <row r="244" customFormat="false" ht="15" hidden="false" customHeight="false" outlineLevel="0" collapsed="false">
      <c r="A244" s="0" t="str">
        <f aca="false">IF(243&lt;=Calculo!$B$8,243,"")</f>
        <v/>
      </c>
      <c r="B244" s="11" t="str">
        <f aca="false">IF(A244="","",B243-Calculo!$B$6/Calculo!$B$8)</f>
        <v/>
      </c>
      <c r="C244" s="11" t="str">
        <f aca="false">IF(A244="","",Calculo!$B$6/Calculo!$B$8+B244*Calculo!$B$7/100)</f>
        <v/>
      </c>
      <c r="D244" s="11" t="str">
        <f aca="false">IF(A244="","",D243-(Calculo!$B$10-D243*Calculo!$B$7/100))</f>
        <v/>
      </c>
      <c r="E244" s="11" t="str">
        <f aca="false">IF(A244="","",Calculo!$B$10)</f>
        <v/>
      </c>
    </row>
    <row r="245" customFormat="false" ht="15" hidden="false" customHeight="false" outlineLevel="0" collapsed="false">
      <c r="A245" s="0" t="str">
        <f aca="false">IF(244&lt;=Calculo!$B$8,244,"")</f>
        <v/>
      </c>
      <c r="B245" s="11" t="str">
        <f aca="false">IF(A245="","",B244-Calculo!$B$6/Calculo!$B$8)</f>
        <v/>
      </c>
      <c r="C245" s="11" t="str">
        <f aca="false">IF(A245="","",Calculo!$B$6/Calculo!$B$8+B245*Calculo!$B$7/100)</f>
        <v/>
      </c>
      <c r="D245" s="11" t="str">
        <f aca="false">IF(A245="","",D244-(Calculo!$B$10-D244*Calculo!$B$7/100))</f>
        <v/>
      </c>
      <c r="E245" s="11" t="str">
        <f aca="false">IF(A245="","",Calculo!$B$10)</f>
        <v/>
      </c>
    </row>
    <row r="246" customFormat="false" ht="15" hidden="false" customHeight="false" outlineLevel="0" collapsed="false">
      <c r="A246" s="0" t="str">
        <f aca="false">IF(245&lt;=Calculo!$B$8,245,"")</f>
        <v/>
      </c>
      <c r="B246" s="11" t="str">
        <f aca="false">IF(A246="","",B245-Calculo!$B$6/Calculo!$B$8)</f>
        <v/>
      </c>
      <c r="C246" s="11" t="str">
        <f aca="false">IF(A246="","",Calculo!$B$6/Calculo!$B$8+B246*Calculo!$B$7/100)</f>
        <v/>
      </c>
      <c r="D246" s="11" t="str">
        <f aca="false">IF(A246="","",D245-(Calculo!$B$10-D245*Calculo!$B$7/100))</f>
        <v/>
      </c>
      <c r="E246" s="11" t="str">
        <f aca="false">IF(A246="","",Calculo!$B$10)</f>
        <v/>
      </c>
    </row>
    <row r="247" customFormat="false" ht="15" hidden="false" customHeight="false" outlineLevel="0" collapsed="false">
      <c r="A247" s="0" t="str">
        <f aca="false">IF(246&lt;=Calculo!$B$8,246,"")</f>
        <v/>
      </c>
      <c r="B247" s="11" t="str">
        <f aca="false">IF(A247="","",B246-Calculo!$B$6/Calculo!$B$8)</f>
        <v/>
      </c>
      <c r="C247" s="11" t="str">
        <f aca="false">IF(A247="","",Calculo!$B$6/Calculo!$B$8+B247*Calculo!$B$7/100)</f>
        <v/>
      </c>
      <c r="D247" s="11" t="str">
        <f aca="false">IF(A247="","",D246-(Calculo!$B$10-D246*Calculo!$B$7/100))</f>
        <v/>
      </c>
      <c r="E247" s="11" t="str">
        <f aca="false">IF(A247="","",Calculo!$B$10)</f>
        <v/>
      </c>
    </row>
    <row r="248" customFormat="false" ht="15" hidden="false" customHeight="false" outlineLevel="0" collapsed="false">
      <c r="A248" s="0" t="str">
        <f aca="false">IF(247&lt;=Calculo!$B$8,247,"")</f>
        <v/>
      </c>
      <c r="B248" s="11" t="str">
        <f aca="false">IF(A248="","",B247-Calculo!$B$6/Calculo!$B$8)</f>
        <v/>
      </c>
      <c r="C248" s="11" t="str">
        <f aca="false">IF(A248="","",Calculo!$B$6/Calculo!$B$8+B248*Calculo!$B$7/100)</f>
        <v/>
      </c>
      <c r="D248" s="11" t="str">
        <f aca="false">IF(A248="","",D247-(Calculo!$B$10-D247*Calculo!$B$7/100))</f>
        <v/>
      </c>
      <c r="E248" s="11" t="str">
        <f aca="false">IF(A248="","",Calculo!$B$10)</f>
        <v/>
      </c>
    </row>
    <row r="249" customFormat="false" ht="15" hidden="false" customHeight="false" outlineLevel="0" collapsed="false">
      <c r="A249" s="0" t="str">
        <f aca="false">IF(248&lt;=Calculo!$B$8,248,"")</f>
        <v/>
      </c>
      <c r="B249" s="11" t="str">
        <f aca="false">IF(A249="","",B248-Calculo!$B$6/Calculo!$B$8)</f>
        <v/>
      </c>
      <c r="C249" s="11" t="str">
        <f aca="false">IF(A249="","",Calculo!$B$6/Calculo!$B$8+B249*Calculo!$B$7/100)</f>
        <v/>
      </c>
      <c r="D249" s="11" t="str">
        <f aca="false">IF(A249="","",D248-(Calculo!$B$10-D248*Calculo!$B$7/100))</f>
        <v/>
      </c>
      <c r="E249" s="11" t="str">
        <f aca="false">IF(A249="","",Calculo!$B$10)</f>
        <v/>
      </c>
    </row>
    <row r="250" customFormat="false" ht="15" hidden="false" customHeight="false" outlineLevel="0" collapsed="false">
      <c r="A250" s="0" t="str">
        <f aca="false">IF(249&lt;=Calculo!$B$8,249,"")</f>
        <v/>
      </c>
      <c r="B250" s="11" t="str">
        <f aca="false">IF(A250="","",B249-Calculo!$B$6/Calculo!$B$8)</f>
        <v/>
      </c>
      <c r="C250" s="11" t="str">
        <f aca="false">IF(A250="","",Calculo!$B$6/Calculo!$B$8+B250*Calculo!$B$7/100)</f>
        <v/>
      </c>
      <c r="D250" s="11" t="str">
        <f aca="false">IF(A250="","",D249-(Calculo!$B$10-D249*Calculo!$B$7/100))</f>
        <v/>
      </c>
      <c r="E250" s="11" t="str">
        <f aca="false">IF(A250="","",Calculo!$B$10)</f>
        <v/>
      </c>
    </row>
    <row r="251" customFormat="false" ht="15" hidden="false" customHeight="false" outlineLevel="0" collapsed="false">
      <c r="A251" s="0" t="str">
        <f aca="false">IF(250&lt;=Calculo!$B$8,250,"")</f>
        <v/>
      </c>
      <c r="B251" s="11" t="str">
        <f aca="false">IF(A251="","",B250-Calculo!$B$6/Calculo!$B$8)</f>
        <v/>
      </c>
      <c r="C251" s="11" t="str">
        <f aca="false">IF(A251="","",Calculo!$B$6/Calculo!$B$8+B251*Calculo!$B$7/100)</f>
        <v/>
      </c>
      <c r="D251" s="11" t="str">
        <f aca="false">IF(A251="","",D250-(Calculo!$B$10-D250*Calculo!$B$7/100))</f>
        <v/>
      </c>
      <c r="E251" s="11" t="str">
        <f aca="false">IF(A251="","",Calculo!$B$10)</f>
        <v/>
      </c>
    </row>
    <row r="252" customFormat="false" ht="15" hidden="false" customHeight="false" outlineLevel="0" collapsed="false">
      <c r="A252" s="0" t="str">
        <f aca="false">IF(251&lt;=Calculo!$B$8,251,"")</f>
        <v/>
      </c>
      <c r="B252" s="11" t="str">
        <f aca="false">IF(A252="","",B251-Calculo!$B$6/Calculo!$B$8)</f>
        <v/>
      </c>
      <c r="C252" s="11" t="str">
        <f aca="false">IF(A252="","",Calculo!$B$6/Calculo!$B$8+B252*Calculo!$B$7/100)</f>
        <v/>
      </c>
      <c r="D252" s="11" t="str">
        <f aca="false">IF(A252="","",D251-(Calculo!$B$10-D251*Calculo!$B$7/100))</f>
        <v/>
      </c>
      <c r="E252" s="11" t="str">
        <f aca="false">IF(A252="","",Calculo!$B$10)</f>
        <v/>
      </c>
    </row>
    <row r="253" customFormat="false" ht="15" hidden="false" customHeight="false" outlineLevel="0" collapsed="false">
      <c r="A253" s="0" t="str">
        <f aca="false">IF(252&lt;=Calculo!$B$8,252,"")</f>
        <v/>
      </c>
      <c r="B253" s="11" t="str">
        <f aca="false">IF(A253="","",B252-Calculo!$B$6/Calculo!$B$8)</f>
        <v/>
      </c>
      <c r="C253" s="11" t="str">
        <f aca="false">IF(A253="","",Calculo!$B$6/Calculo!$B$8+B253*Calculo!$B$7/100)</f>
        <v/>
      </c>
      <c r="D253" s="11" t="str">
        <f aca="false">IF(A253="","",D252-(Calculo!$B$10-D252*Calculo!$B$7/100))</f>
        <v/>
      </c>
      <c r="E253" s="11" t="str">
        <f aca="false">IF(A253="","",Calculo!$B$10)</f>
        <v/>
      </c>
    </row>
    <row r="254" customFormat="false" ht="15" hidden="false" customHeight="false" outlineLevel="0" collapsed="false">
      <c r="A254" s="0" t="str">
        <f aca="false">IF(253&lt;=Calculo!$B$8,253,"")</f>
        <v/>
      </c>
      <c r="B254" s="11" t="str">
        <f aca="false">IF(A254="","",B253-Calculo!$B$6/Calculo!$B$8)</f>
        <v/>
      </c>
      <c r="C254" s="11" t="str">
        <f aca="false">IF(A254="","",Calculo!$B$6/Calculo!$B$8+B254*Calculo!$B$7/100)</f>
        <v/>
      </c>
      <c r="D254" s="11" t="str">
        <f aca="false">IF(A254="","",D253-(Calculo!$B$10-D253*Calculo!$B$7/100))</f>
        <v/>
      </c>
      <c r="E254" s="11" t="str">
        <f aca="false">IF(A254="","",Calculo!$B$10)</f>
        <v/>
      </c>
    </row>
    <row r="255" customFormat="false" ht="15" hidden="false" customHeight="false" outlineLevel="0" collapsed="false">
      <c r="A255" s="0" t="str">
        <f aca="false">IF(254&lt;=Calculo!$B$8,254,"")</f>
        <v/>
      </c>
      <c r="B255" s="11" t="str">
        <f aca="false">IF(A255="","",B254-Calculo!$B$6/Calculo!$B$8)</f>
        <v/>
      </c>
      <c r="C255" s="11" t="str">
        <f aca="false">IF(A255="","",Calculo!$B$6/Calculo!$B$8+B255*Calculo!$B$7/100)</f>
        <v/>
      </c>
      <c r="D255" s="11" t="str">
        <f aca="false">IF(A255="","",D254-(Calculo!$B$10-D254*Calculo!$B$7/100))</f>
        <v/>
      </c>
      <c r="E255" s="11" t="str">
        <f aca="false">IF(A255="","",Calculo!$B$10)</f>
        <v/>
      </c>
    </row>
    <row r="256" customFormat="false" ht="15" hidden="false" customHeight="false" outlineLevel="0" collapsed="false">
      <c r="A256" s="0" t="str">
        <f aca="false">IF(255&lt;=Calculo!$B$8,255,"")</f>
        <v/>
      </c>
      <c r="B256" s="11" t="str">
        <f aca="false">IF(A256="","",B255-Calculo!$B$6/Calculo!$B$8)</f>
        <v/>
      </c>
      <c r="C256" s="11" t="str">
        <f aca="false">IF(A256="","",Calculo!$B$6/Calculo!$B$8+B256*Calculo!$B$7/100)</f>
        <v/>
      </c>
      <c r="D256" s="11" t="str">
        <f aca="false">IF(A256="","",D255-(Calculo!$B$10-D255*Calculo!$B$7/100))</f>
        <v/>
      </c>
      <c r="E256" s="11" t="str">
        <f aca="false">IF(A256="","",Calculo!$B$10)</f>
        <v/>
      </c>
    </row>
    <row r="257" customFormat="false" ht="15" hidden="false" customHeight="false" outlineLevel="0" collapsed="false">
      <c r="A257" s="0" t="str">
        <f aca="false">IF(256&lt;=Calculo!$B$8,256,"")</f>
        <v/>
      </c>
      <c r="B257" s="11" t="str">
        <f aca="false">IF(A257="","",B256-Calculo!$B$6/Calculo!$B$8)</f>
        <v/>
      </c>
      <c r="C257" s="11" t="str">
        <f aca="false">IF(A257="","",Calculo!$B$6/Calculo!$B$8+B257*Calculo!$B$7/100)</f>
        <v/>
      </c>
      <c r="D257" s="11" t="str">
        <f aca="false">IF(A257="","",D256-(Calculo!$B$10-D256*Calculo!$B$7/100))</f>
        <v/>
      </c>
      <c r="E257" s="11" t="str">
        <f aca="false">IF(A257="","",Calculo!$B$10)</f>
        <v/>
      </c>
    </row>
    <row r="258" customFormat="false" ht="15" hidden="false" customHeight="false" outlineLevel="0" collapsed="false">
      <c r="A258" s="0" t="str">
        <f aca="false">IF(257&lt;=Calculo!$B$8,257,"")</f>
        <v/>
      </c>
      <c r="B258" s="11" t="str">
        <f aca="false">IF(A258="","",B257-Calculo!$B$6/Calculo!$B$8)</f>
        <v/>
      </c>
      <c r="C258" s="11" t="str">
        <f aca="false">IF(A258="","",Calculo!$B$6/Calculo!$B$8+B258*Calculo!$B$7/100)</f>
        <v/>
      </c>
      <c r="D258" s="11" t="str">
        <f aca="false">IF(A258="","",D257-(Calculo!$B$10-D257*Calculo!$B$7/100))</f>
        <v/>
      </c>
      <c r="E258" s="11" t="str">
        <f aca="false">IF(A258="","",Calculo!$B$10)</f>
        <v/>
      </c>
    </row>
    <row r="259" customFormat="false" ht="15" hidden="false" customHeight="false" outlineLevel="0" collapsed="false">
      <c r="A259" s="0" t="str">
        <f aca="false">IF(258&lt;=Calculo!$B$8,258,"")</f>
        <v/>
      </c>
      <c r="B259" s="11" t="str">
        <f aca="false">IF(A259="","",B258-Calculo!$B$6/Calculo!$B$8)</f>
        <v/>
      </c>
      <c r="C259" s="11" t="str">
        <f aca="false">IF(A259="","",Calculo!$B$6/Calculo!$B$8+B259*Calculo!$B$7/100)</f>
        <v/>
      </c>
      <c r="D259" s="11" t="str">
        <f aca="false">IF(A259="","",D258-(Calculo!$B$10-D258*Calculo!$B$7/100))</f>
        <v/>
      </c>
      <c r="E259" s="11" t="str">
        <f aca="false">IF(A259="","",Calculo!$B$10)</f>
        <v/>
      </c>
    </row>
    <row r="260" customFormat="false" ht="15" hidden="false" customHeight="false" outlineLevel="0" collapsed="false">
      <c r="A260" s="0" t="str">
        <f aca="false">IF(259&lt;=Calculo!$B$8,259,"")</f>
        <v/>
      </c>
      <c r="B260" s="11" t="str">
        <f aca="false">IF(A260="","",B259-Calculo!$B$6/Calculo!$B$8)</f>
        <v/>
      </c>
      <c r="C260" s="11" t="str">
        <f aca="false">IF(A260="","",Calculo!$B$6/Calculo!$B$8+B260*Calculo!$B$7/100)</f>
        <v/>
      </c>
      <c r="D260" s="11" t="str">
        <f aca="false">IF(A260="","",D259-(Calculo!$B$10-D259*Calculo!$B$7/100))</f>
        <v/>
      </c>
      <c r="E260" s="11" t="str">
        <f aca="false">IF(A260="","",Calculo!$B$10)</f>
        <v/>
      </c>
    </row>
    <row r="261" customFormat="false" ht="15" hidden="false" customHeight="false" outlineLevel="0" collapsed="false">
      <c r="A261" s="0" t="str">
        <f aca="false">IF(260&lt;=Calculo!$B$8,260,"")</f>
        <v/>
      </c>
      <c r="B261" s="11" t="str">
        <f aca="false">IF(A261="","",B260-Calculo!$B$6/Calculo!$B$8)</f>
        <v/>
      </c>
      <c r="C261" s="11" t="str">
        <f aca="false">IF(A261="","",Calculo!$B$6/Calculo!$B$8+B261*Calculo!$B$7/100)</f>
        <v/>
      </c>
      <c r="D261" s="11" t="str">
        <f aca="false">IF(A261="","",D260-(Calculo!$B$10-D260*Calculo!$B$7/100))</f>
        <v/>
      </c>
      <c r="E261" s="11" t="str">
        <f aca="false">IF(A261="","",Calculo!$B$10)</f>
        <v/>
      </c>
    </row>
    <row r="262" customFormat="false" ht="15" hidden="false" customHeight="false" outlineLevel="0" collapsed="false">
      <c r="A262" s="0" t="str">
        <f aca="false">IF(261&lt;=Calculo!$B$8,261,"")</f>
        <v/>
      </c>
      <c r="B262" s="11" t="str">
        <f aca="false">IF(A262="","",B261-Calculo!$B$6/Calculo!$B$8)</f>
        <v/>
      </c>
      <c r="C262" s="11" t="str">
        <f aca="false">IF(A262="","",Calculo!$B$6/Calculo!$B$8+B262*Calculo!$B$7/100)</f>
        <v/>
      </c>
      <c r="D262" s="11" t="str">
        <f aca="false">IF(A262="","",D261-(Calculo!$B$10-D261*Calculo!$B$7/100))</f>
        <v/>
      </c>
      <c r="E262" s="11" t="str">
        <f aca="false">IF(A262="","",Calculo!$B$10)</f>
        <v/>
      </c>
    </row>
    <row r="263" customFormat="false" ht="15" hidden="false" customHeight="false" outlineLevel="0" collapsed="false">
      <c r="A263" s="0" t="str">
        <f aca="false">IF(262&lt;=Calculo!$B$8,262,"")</f>
        <v/>
      </c>
      <c r="B263" s="11" t="str">
        <f aca="false">IF(A263="","",B262-Calculo!$B$6/Calculo!$B$8)</f>
        <v/>
      </c>
      <c r="C263" s="11" t="str">
        <f aca="false">IF(A263="","",Calculo!$B$6/Calculo!$B$8+B263*Calculo!$B$7/100)</f>
        <v/>
      </c>
      <c r="D263" s="11" t="str">
        <f aca="false">IF(A263="","",D262-(Calculo!$B$10-D262*Calculo!$B$7/100))</f>
        <v/>
      </c>
      <c r="E263" s="11" t="str">
        <f aca="false">IF(A263="","",Calculo!$B$10)</f>
        <v/>
      </c>
    </row>
    <row r="264" customFormat="false" ht="15" hidden="false" customHeight="false" outlineLevel="0" collapsed="false">
      <c r="A264" s="0" t="str">
        <f aca="false">IF(263&lt;=Calculo!$B$8,263,"")</f>
        <v/>
      </c>
      <c r="B264" s="11" t="str">
        <f aca="false">IF(A264="","",B263-Calculo!$B$6/Calculo!$B$8)</f>
        <v/>
      </c>
      <c r="C264" s="11" t="str">
        <f aca="false">IF(A264="","",Calculo!$B$6/Calculo!$B$8+B264*Calculo!$B$7/100)</f>
        <v/>
      </c>
      <c r="D264" s="11" t="str">
        <f aca="false">IF(A264="","",D263-(Calculo!$B$10-D263*Calculo!$B$7/100))</f>
        <v/>
      </c>
      <c r="E264" s="11" t="str">
        <f aca="false">IF(A264="","",Calculo!$B$10)</f>
        <v/>
      </c>
    </row>
    <row r="265" customFormat="false" ht="15" hidden="false" customHeight="false" outlineLevel="0" collapsed="false">
      <c r="A265" s="0" t="str">
        <f aca="false">IF(264&lt;=Calculo!$B$8,264,"")</f>
        <v/>
      </c>
      <c r="B265" s="11" t="str">
        <f aca="false">IF(A265="","",B264-Calculo!$B$6/Calculo!$B$8)</f>
        <v/>
      </c>
      <c r="C265" s="11" t="str">
        <f aca="false">IF(A265="","",Calculo!$B$6/Calculo!$B$8+B265*Calculo!$B$7/100)</f>
        <v/>
      </c>
      <c r="D265" s="11" t="str">
        <f aca="false">IF(A265="","",D264-(Calculo!$B$10-D264*Calculo!$B$7/100))</f>
        <v/>
      </c>
      <c r="E265" s="11" t="str">
        <f aca="false">IF(A265="","",Calculo!$B$10)</f>
        <v/>
      </c>
    </row>
    <row r="266" customFormat="false" ht="15" hidden="false" customHeight="false" outlineLevel="0" collapsed="false">
      <c r="A266" s="0" t="str">
        <f aca="false">IF(265&lt;=Calculo!$B$8,265,"")</f>
        <v/>
      </c>
      <c r="B266" s="11" t="str">
        <f aca="false">IF(A266="","",B265-Calculo!$B$6/Calculo!$B$8)</f>
        <v/>
      </c>
      <c r="C266" s="11" t="str">
        <f aca="false">IF(A266="","",Calculo!$B$6/Calculo!$B$8+B266*Calculo!$B$7/100)</f>
        <v/>
      </c>
      <c r="D266" s="11" t="str">
        <f aca="false">IF(A266="","",D265-(Calculo!$B$10-D265*Calculo!$B$7/100))</f>
        <v/>
      </c>
      <c r="E266" s="11" t="str">
        <f aca="false">IF(A266="","",Calculo!$B$10)</f>
        <v/>
      </c>
    </row>
    <row r="267" customFormat="false" ht="15" hidden="false" customHeight="false" outlineLevel="0" collapsed="false">
      <c r="A267" s="0" t="str">
        <f aca="false">IF(266&lt;=Calculo!$B$8,266,"")</f>
        <v/>
      </c>
      <c r="B267" s="11" t="str">
        <f aca="false">IF(A267="","",B266-Calculo!$B$6/Calculo!$B$8)</f>
        <v/>
      </c>
      <c r="C267" s="11" t="str">
        <f aca="false">IF(A267="","",Calculo!$B$6/Calculo!$B$8+B267*Calculo!$B$7/100)</f>
        <v/>
      </c>
      <c r="D267" s="11" t="str">
        <f aca="false">IF(A267="","",D266-(Calculo!$B$10-D266*Calculo!$B$7/100))</f>
        <v/>
      </c>
      <c r="E267" s="11" t="str">
        <f aca="false">IF(A267="","",Calculo!$B$10)</f>
        <v/>
      </c>
    </row>
    <row r="268" customFormat="false" ht="15" hidden="false" customHeight="false" outlineLevel="0" collapsed="false">
      <c r="A268" s="0" t="str">
        <f aca="false">IF(267&lt;=Calculo!$B$8,267,"")</f>
        <v/>
      </c>
      <c r="B268" s="11" t="str">
        <f aca="false">IF(A268="","",B267-Calculo!$B$6/Calculo!$B$8)</f>
        <v/>
      </c>
      <c r="C268" s="11" t="str">
        <f aca="false">IF(A268="","",Calculo!$B$6/Calculo!$B$8+B268*Calculo!$B$7/100)</f>
        <v/>
      </c>
      <c r="D268" s="11" t="str">
        <f aca="false">IF(A268="","",D267-(Calculo!$B$10-D267*Calculo!$B$7/100))</f>
        <v/>
      </c>
      <c r="E268" s="11" t="str">
        <f aca="false">IF(A268="","",Calculo!$B$10)</f>
        <v/>
      </c>
    </row>
    <row r="269" customFormat="false" ht="15" hidden="false" customHeight="false" outlineLevel="0" collapsed="false">
      <c r="A269" s="0" t="str">
        <f aca="false">IF(268&lt;=Calculo!$B$8,268,"")</f>
        <v/>
      </c>
      <c r="B269" s="11" t="str">
        <f aca="false">IF(A269="","",B268-Calculo!$B$6/Calculo!$B$8)</f>
        <v/>
      </c>
      <c r="C269" s="11" t="str">
        <f aca="false">IF(A269="","",Calculo!$B$6/Calculo!$B$8+B269*Calculo!$B$7/100)</f>
        <v/>
      </c>
      <c r="D269" s="11" t="str">
        <f aca="false">IF(A269="","",D268-(Calculo!$B$10-D268*Calculo!$B$7/100))</f>
        <v/>
      </c>
      <c r="E269" s="11" t="str">
        <f aca="false">IF(A269="","",Calculo!$B$10)</f>
        <v/>
      </c>
    </row>
    <row r="270" customFormat="false" ht="15" hidden="false" customHeight="false" outlineLevel="0" collapsed="false">
      <c r="A270" s="0" t="str">
        <f aca="false">IF(269&lt;=Calculo!$B$8,269,"")</f>
        <v/>
      </c>
      <c r="B270" s="11" t="str">
        <f aca="false">IF(A270="","",B269-Calculo!$B$6/Calculo!$B$8)</f>
        <v/>
      </c>
      <c r="C270" s="11" t="str">
        <f aca="false">IF(A270="","",Calculo!$B$6/Calculo!$B$8+B270*Calculo!$B$7/100)</f>
        <v/>
      </c>
      <c r="D270" s="11" t="str">
        <f aca="false">IF(A270="","",D269-(Calculo!$B$10-D269*Calculo!$B$7/100))</f>
        <v/>
      </c>
      <c r="E270" s="11" t="str">
        <f aca="false">IF(A270="","",Calculo!$B$10)</f>
        <v/>
      </c>
    </row>
    <row r="271" customFormat="false" ht="15" hidden="false" customHeight="false" outlineLevel="0" collapsed="false">
      <c r="A271" s="0" t="str">
        <f aca="false">IF(270&lt;=Calculo!$B$8,270,"")</f>
        <v/>
      </c>
      <c r="B271" s="11" t="str">
        <f aca="false">IF(A271="","",B270-Calculo!$B$6/Calculo!$B$8)</f>
        <v/>
      </c>
      <c r="C271" s="11" t="str">
        <f aca="false">IF(A271="","",Calculo!$B$6/Calculo!$B$8+B271*Calculo!$B$7/100)</f>
        <v/>
      </c>
      <c r="D271" s="11" t="str">
        <f aca="false">IF(A271="","",D270-(Calculo!$B$10-D270*Calculo!$B$7/100))</f>
        <v/>
      </c>
      <c r="E271" s="11" t="str">
        <f aca="false">IF(A271="","",Calculo!$B$10)</f>
        <v/>
      </c>
    </row>
    <row r="272" customFormat="false" ht="15" hidden="false" customHeight="false" outlineLevel="0" collapsed="false">
      <c r="A272" s="0" t="str">
        <f aca="false">IF(271&lt;=Calculo!$B$8,271,"")</f>
        <v/>
      </c>
      <c r="B272" s="11" t="str">
        <f aca="false">IF(A272="","",B271-Calculo!$B$6/Calculo!$B$8)</f>
        <v/>
      </c>
      <c r="C272" s="11" t="str">
        <f aca="false">IF(A272="","",Calculo!$B$6/Calculo!$B$8+B272*Calculo!$B$7/100)</f>
        <v/>
      </c>
      <c r="D272" s="11" t="str">
        <f aca="false">IF(A272="","",D271-(Calculo!$B$10-D271*Calculo!$B$7/100))</f>
        <v/>
      </c>
      <c r="E272" s="11" t="str">
        <f aca="false">IF(A272="","",Calculo!$B$10)</f>
        <v/>
      </c>
    </row>
    <row r="273" customFormat="false" ht="15" hidden="false" customHeight="false" outlineLevel="0" collapsed="false">
      <c r="A273" s="0" t="str">
        <f aca="false">IF(272&lt;=Calculo!$B$8,272,"")</f>
        <v/>
      </c>
      <c r="B273" s="11" t="str">
        <f aca="false">IF(A273="","",B272-Calculo!$B$6/Calculo!$B$8)</f>
        <v/>
      </c>
      <c r="C273" s="11" t="str">
        <f aca="false">IF(A273="","",Calculo!$B$6/Calculo!$B$8+B273*Calculo!$B$7/100)</f>
        <v/>
      </c>
      <c r="D273" s="11" t="str">
        <f aca="false">IF(A273="","",D272-(Calculo!$B$10-D272*Calculo!$B$7/100))</f>
        <v/>
      </c>
      <c r="E273" s="11" t="str">
        <f aca="false">IF(A273="","",Calculo!$B$10)</f>
        <v/>
      </c>
    </row>
    <row r="274" customFormat="false" ht="15" hidden="false" customHeight="false" outlineLevel="0" collapsed="false">
      <c r="A274" s="0" t="str">
        <f aca="false">IF(273&lt;=Calculo!$B$8,273,"")</f>
        <v/>
      </c>
      <c r="B274" s="11" t="str">
        <f aca="false">IF(A274="","",B273-Calculo!$B$6/Calculo!$B$8)</f>
        <v/>
      </c>
      <c r="C274" s="11" t="str">
        <f aca="false">IF(A274="","",Calculo!$B$6/Calculo!$B$8+B274*Calculo!$B$7/100)</f>
        <v/>
      </c>
      <c r="D274" s="11" t="str">
        <f aca="false">IF(A274="","",D273-(Calculo!$B$10-D273*Calculo!$B$7/100))</f>
        <v/>
      </c>
      <c r="E274" s="11" t="str">
        <f aca="false">IF(A274="","",Calculo!$B$10)</f>
        <v/>
      </c>
    </row>
    <row r="275" customFormat="false" ht="15" hidden="false" customHeight="false" outlineLevel="0" collapsed="false">
      <c r="A275" s="0" t="str">
        <f aca="false">IF(274&lt;=Calculo!$B$8,274,"")</f>
        <v/>
      </c>
      <c r="B275" s="11" t="str">
        <f aca="false">IF(A275="","",B274-Calculo!$B$6/Calculo!$B$8)</f>
        <v/>
      </c>
      <c r="C275" s="11" t="str">
        <f aca="false">IF(A275="","",Calculo!$B$6/Calculo!$B$8+B275*Calculo!$B$7/100)</f>
        <v/>
      </c>
      <c r="D275" s="11" t="str">
        <f aca="false">IF(A275="","",D274-(Calculo!$B$10-D274*Calculo!$B$7/100))</f>
        <v/>
      </c>
      <c r="E275" s="11" t="str">
        <f aca="false">IF(A275="","",Calculo!$B$10)</f>
        <v/>
      </c>
    </row>
    <row r="276" customFormat="false" ht="15" hidden="false" customHeight="false" outlineLevel="0" collapsed="false">
      <c r="A276" s="0" t="str">
        <f aca="false">IF(275&lt;=Calculo!$B$8,275,"")</f>
        <v/>
      </c>
      <c r="B276" s="11" t="str">
        <f aca="false">IF(A276="","",B275-Calculo!$B$6/Calculo!$B$8)</f>
        <v/>
      </c>
      <c r="C276" s="11" t="str">
        <f aca="false">IF(A276="","",Calculo!$B$6/Calculo!$B$8+B276*Calculo!$B$7/100)</f>
        <v/>
      </c>
      <c r="D276" s="11" t="str">
        <f aca="false">IF(A276="","",D275-(Calculo!$B$10-D275*Calculo!$B$7/100))</f>
        <v/>
      </c>
      <c r="E276" s="11" t="str">
        <f aca="false">IF(A276="","",Calculo!$B$10)</f>
        <v/>
      </c>
    </row>
    <row r="277" customFormat="false" ht="15" hidden="false" customHeight="false" outlineLevel="0" collapsed="false">
      <c r="A277" s="0" t="str">
        <f aca="false">IF(276&lt;=Calculo!$B$8,276,"")</f>
        <v/>
      </c>
      <c r="B277" s="11" t="str">
        <f aca="false">IF(A277="","",B276-Calculo!$B$6/Calculo!$B$8)</f>
        <v/>
      </c>
      <c r="C277" s="11" t="str">
        <f aca="false">IF(A277="","",Calculo!$B$6/Calculo!$B$8+B277*Calculo!$B$7/100)</f>
        <v/>
      </c>
      <c r="D277" s="11" t="str">
        <f aca="false">IF(A277="","",D276-(Calculo!$B$10-D276*Calculo!$B$7/100))</f>
        <v/>
      </c>
      <c r="E277" s="11" t="str">
        <f aca="false">IF(A277="","",Calculo!$B$10)</f>
        <v/>
      </c>
    </row>
    <row r="278" customFormat="false" ht="15" hidden="false" customHeight="false" outlineLevel="0" collapsed="false">
      <c r="A278" s="0" t="str">
        <f aca="false">IF(277&lt;=Calculo!$B$8,277,"")</f>
        <v/>
      </c>
      <c r="B278" s="11" t="str">
        <f aca="false">IF(A278="","",B277-Calculo!$B$6/Calculo!$B$8)</f>
        <v/>
      </c>
      <c r="C278" s="11" t="str">
        <f aca="false">IF(A278="","",Calculo!$B$6/Calculo!$B$8+B278*Calculo!$B$7/100)</f>
        <v/>
      </c>
      <c r="D278" s="11" t="str">
        <f aca="false">IF(A278="","",D277-(Calculo!$B$10-D277*Calculo!$B$7/100))</f>
        <v/>
      </c>
      <c r="E278" s="11" t="str">
        <f aca="false">IF(A278="","",Calculo!$B$10)</f>
        <v/>
      </c>
    </row>
    <row r="279" customFormat="false" ht="15" hidden="false" customHeight="false" outlineLevel="0" collapsed="false">
      <c r="A279" s="0" t="str">
        <f aca="false">IF(278&lt;=Calculo!$B$8,278,"")</f>
        <v/>
      </c>
      <c r="B279" s="11" t="str">
        <f aca="false">IF(A279="","",B278-Calculo!$B$6/Calculo!$B$8)</f>
        <v/>
      </c>
      <c r="C279" s="11" t="str">
        <f aca="false">IF(A279="","",Calculo!$B$6/Calculo!$B$8+B279*Calculo!$B$7/100)</f>
        <v/>
      </c>
      <c r="D279" s="11" t="str">
        <f aca="false">IF(A279="","",D278-(Calculo!$B$10-D278*Calculo!$B$7/100))</f>
        <v/>
      </c>
      <c r="E279" s="11" t="str">
        <f aca="false">IF(A279="","",Calculo!$B$10)</f>
        <v/>
      </c>
    </row>
    <row r="280" customFormat="false" ht="15" hidden="false" customHeight="false" outlineLevel="0" collapsed="false">
      <c r="A280" s="0" t="str">
        <f aca="false">IF(279&lt;=Calculo!$B$8,279,"")</f>
        <v/>
      </c>
      <c r="B280" s="11" t="str">
        <f aca="false">IF(A280="","",B279-Calculo!$B$6/Calculo!$B$8)</f>
        <v/>
      </c>
      <c r="C280" s="11" t="str">
        <f aca="false">IF(A280="","",Calculo!$B$6/Calculo!$B$8+B280*Calculo!$B$7/100)</f>
        <v/>
      </c>
      <c r="D280" s="11" t="str">
        <f aca="false">IF(A280="","",D279-(Calculo!$B$10-D279*Calculo!$B$7/100))</f>
        <v/>
      </c>
      <c r="E280" s="11" t="str">
        <f aca="false">IF(A280="","",Calculo!$B$10)</f>
        <v/>
      </c>
    </row>
    <row r="281" customFormat="false" ht="15" hidden="false" customHeight="false" outlineLevel="0" collapsed="false">
      <c r="A281" s="0" t="str">
        <f aca="false">IF(280&lt;=Calculo!$B$8,280,"")</f>
        <v/>
      </c>
      <c r="B281" s="11" t="str">
        <f aca="false">IF(A281="","",B280-Calculo!$B$6/Calculo!$B$8)</f>
        <v/>
      </c>
      <c r="C281" s="11" t="str">
        <f aca="false">IF(A281="","",Calculo!$B$6/Calculo!$B$8+B281*Calculo!$B$7/100)</f>
        <v/>
      </c>
      <c r="D281" s="11" t="str">
        <f aca="false">IF(A281="","",D280-(Calculo!$B$10-D280*Calculo!$B$7/100))</f>
        <v/>
      </c>
      <c r="E281" s="11" t="str">
        <f aca="false">IF(A281="","",Calculo!$B$10)</f>
        <v/>
      </c>
    </row>
    <row r="282" customFormat="false" ht="15" hidden="false" customHeight="false" outlineLevel="0" collapsed="false">
      <c r="A282" s="0" t="str">
        <f aca="false">IF(281&lt;=Calculo!$B$8,281,"")</f>
        <v/>
      </c>
      <c r="B282" s="11" t="str">
        <f aca="false">IF(A282="","",B281-Calculo!$B$6/Calculo!$B$8)</f>
        <v/>
      </c>
      <c r="C282" s="11" t="str">
        <f aca="false">IF(A282="","",Calculo!$B$6/Calculo!$B$8+B282*Calculo!$B$7/100)</f>
        <v/>
      </c>
      <c r="D282" s="11" t="str">
        <f aca="false">IF(A282="","",D281-(Calculo!$B$10-D281*Calculo!$B$7/100))</f>
        <v/>
      </c>
      <c r="E282" s="11" t="str">
        <f aca="false">IF(A282="","",Calculo!$B$10)</f>
        <v/>
      </c>
    </row>
    <row r="283" customFormat="false" ht="15" hidden="false" customHeight="false" outlineLevel="0" collapsed="false">
      <c r="A283" s="0" t="str">
        <f aca="false">IF(282&lt;=Calculo!$B$8,282,"")</f>
        <v/>
      </c>
      <c r="B283" s="11" t="str">
        <f aca="false">IF(A283="","",B282-Calculo!$B$6/Calculo!$B$8)</f>
        <v/>
      </c>
      <c r="C283" s="11" t="str">
        <f aca="false">IF(A283="","",Calculo!$B$6/Calculo!$B$8+B283*Calculo!$B$7/100)</f>
        <v/>
      </c>
      <c r="D283" s="11" t="str">
        <f aca="false">IF(A283="","",D282-(Calculo!$B$10-D282*Calculo!$B$7/100))</f>
        <v/>
      </c>
      <c r="E283" s="11" t="str">
        <f aca="false">IF(A283="","",Calculo!$B$10)</f>
        <v/>
      </c>
    </row>
    <row r="284" customFormat="false" ht="15" hidden="false" customHeight="false" outlineLevel="0" collapsed="false">
      <c r="A284" s="0" t="str">
        <f aca="false">IF(283&lt;=Calculo!$B$8,283,"")</f>
        <v/>
      </c>
      <c r="B284" s="11" t="str">
        <f aca="false">IF(A284="","",B283-Calculo!$B$6/Calculo!$B$8)</f>
        <v/>
      </c>
      <c r="C284" s="11" t="str">
        <f aca="false">IF(A284="","",Calculo!$B$6/Calculo!$B$8+B284*Calculo!$B$7/100)</f>
        <v/>
      </c>
      <c r="D284" s="11" t="str">
        <f aca="false">IF(A284="","",D283-(Calculo!$B$10-D283*Calculo!$B$7/100))</f>
        <v/>
      </c>
      <c r="E284" s="11" t="str">
        <f aca="false">IF(A284="","",Calculo!$B$10)</f>
        <v/>
      </c>
    </row>
    <row r="285" customFormat="false" ht="15" hidden="false" customHeight="false" outlineLevel="0" collapsed="false">
      <c r="A285" s="0" t="str">
        <f aca="false">IF(284&lt;=Calculo!$B$8,284,"")</f>
        <v/>
      </c>
      <c r="B285" s="11" t="str">
        <f aca="false">IF(A285="","",B284-Calculo!$B$6/Calculo!$B$8)</f>
        <v/>
      </c>
      <c r="C285" s="11" t="str">
        <f aca="false">IF(A285="","",Calculo!$B$6/Calculo!$B$8+B285*Calculo!$B$7/100)</f>
        <v/>
      </c>
      <c r="D285" s="11" t="str">
        <f aca="false">IF(A285="","",D284-(Calculo!$B$10-D284*Calculo!$B$7/100))</f>
        <v/>
      </c>
      <c r="E285" s="11" t="str">
        <f aca="false">IF(A285="","",Calculo!$B$10)</f>
        <v/>
      </c>
    </row>
    <row r="286" customFormat="false" ht="15" hidden="false" customHeight="false" outlineLevel="0" collapsed="false">
      <c r="A286" s="0" t="str">
        <f aca="false">IF(285&lt;=Calculo!$B$8,285,"")</f>
        <v/>
      </c>
      <c r="B286" s="11" t="str">
        <f aca="false">IF(A286="","",B285-Calculo!$B$6/Calculo!$B$8)</f>
        <v/>
      </c>
      <c r="C286" s="11" t="str">
        <f aca="false">IF(A286="","",Calculo!$B$6/Calculo!$B$8+B286*Calculo!$B$7/100)</f>
        <v/>
      </c>
      <c r="D286" s="11" t="str">
        <f aca="false">IF(A286="","",D285-(Calculo!$B$10-D285*Calculo!$B$7/100))</f>
        <v/>
      </c>
      <c r="E286" s="11" t="str">
        <f aca="false">IF(A286="","",Calculo!$B$10)</f>
        <v/>
      </c>
    </row>
    <row r="287" customFormat="false" ht="15" hidden="false" customHeight="false" outlineLevel="0" collapsed="false">
      <c r="A287" s="0" t="str">
        <f aca="false">IF(286&lt;=Calculo!$B$8,286,"")</f>
        <v/>
      </c>
      <c r="B287" s="11" t="str">
        <f aca="false">IF(A287="","",B286-Calculo!$B$6/Calculo!$B$8)</f>
        <v/>
      </c>
      <c r="C287" s="11" t="str">
        <f aca="false">IF(A287="","",Calculo!$B$6/Calculo!$B$8+B287*Calculo!$B$7/100)</f>
        <v/>
      </c>
      <c r="D287" s="11" t="str">
        <f aca="false">IF(A287="","",D286-(Calculo!$B$10-D286*Calculo!$B$7/100))</f>
        <v/>
      </c>
      <c r="E287" s="11" t="str">
        <f aca="false">IF(A287="","",Calculo!$B$10)</f>
        <v/>
      </c>
    </row>
    <row r="288" customFormat="false" ht="15" hidden="false" customHeight="false" outlineLevel="0" collapsed="false">
      <c r="A288" s="0" t="str">
        <f aca="false">IF(287&lt;=Calculo!$B$8,287,"")</f>
        <v/>
      </c>
      <c r="B288" s="11" t="str">
        <f aca="false">IF(A288="","",B287-Calculo!$B$6/Calculo!$B$8)</f>
        <v/>
      </c>
      <c r="C288" s="11" t="str">
        <f aca="false">IF(A288="","",Calculo!$B$6/Calculo!$B$8+B288*Calculo!$B$7/100)</f>
        <v/>
      </c>
      <c r="D288" s="11" t="str">
        <f aca="false">IF(A288="","",D287-(Calculo!$B$10-D287*Calculo!$B$7/100))</f>
        <v/>
      </c>
      <c r="E288" s="11" t="str">
        <f aca="false">IF(A288="","",Calculo!$B$10)</f>
        <v/>
      </c>
    </row>
    <row r="289" customFormat="false" ht="15" hidden="false" customHeight="false" outlineLevel="0" collapsed="false">
      <c r="A289" s="0" t="str">
        <f aca="false">IF(288&lt;=Calculo!$B$8,288,"")</f>
        <v/>
      </c>
      <c r="B289" s="11" t="str">
        <f aca="false">IF(A289="","",B288-Calculo!$B$6/Calculo!$B$8)</f>
        <v/>
      </c>
      <c r="C289" s="11" t="str">
        <f aca="false">IF(A289="","",Calculo!$B$6/Calculo!$B$8+B289*Calculo!$B$7/100)</f>
        <v/>
      </c>
      <c r="D289" s="11" t="str">
        <f aca="false">IF(A289="","",D288-(Calculo!$B$10-D288*Calculo!$B$7/100))</f>
        <v/>
      </c>
      <c r="E289" s="11" t="str">
        <f aca="false">IF(A289="","",Calculo!$B$10)</f>
        <v/>
      </c>
    </row>
    <row r="290" customFormat="false" ht="15" hidden="false" customHeight="false" outlineLevel="0" collapsed="false">
      <c r="A290" s="0" t="str">
        <f aca="false">IF(289&lt;=Calculo!$B$8,289,"")</f>
        <v/>
      </c>
      <c r="B290" s="11" t="str">
        <f aca="false">IF(A290="","",B289-Calculo!$B$6/Calculo!$B$8)</f>
        <v/>
      </c>
      <c r="C290" s="11" t="str">
        <f aca="false">IF(A290="","",Calculo!$B$6/Calculo!$B$8+B290*Calculo!$B$7/100)</f>
        <v/>
      </c>
      <c r="D290" s="11" t="str">
        <f aca="false">IF(A290="","",D289-(Calculo!$B$10-D289*Calculo!$B$7/100))</f>
        <v/>
      </c>
      <c r="E290" s="11" t="str">
        <f aca="false">IF(A290="","",Calculo!$B$10)</f>
        <v/>
      </c>
    </row>
    <row r="291" customFormat="false" ht="15" hidden="false" customHeight="false" outlineLevel="0" collapsed="false">
      <c r="A291" s="0" t="str">
        <f aca="false">IF(290&lt;=Calculo!$B$8,290,"")</f>
        <v/>
      </c>
      <c r="B291" s="11" t="str">
        <f aca="false">IF(A291="","",B290-Calculo!$B$6/Calculo!$B$8)</f>
        <v/>
      </c>
      <c r="C291" s="11" t="str">
        <f aca="false">IF(A291="","",Calculo!$B$6/Calculo!$B$8+B291*Calculo!$B$7/100)</f>
        <v/>
      </c>
      <c r="D291" s="11" t="str">
        <f aca="false">IF(A291="","",D290-(Calculo!$B$10-D290*Calculo!$B$7/100))</f>
        <v/>
      </c>
      <c r="E291" s="11" t="str">
        <f aca="false">IF(A291="","",Calculo!$B$10)</f>
        <v/>
      </c>
    </row>
    <row r="292" customFormat="false" ht="15" hidden="false" customHeight="false" outlineLevel="0" collapsed="false">
      <c r="A292" s="0" t="str">
        <f aca="false">IF(291&lt;=Calculo!$B$8,291,"")</f>
        <v/>
      </c>
      <c r="B292" s="11" t="str">
        <f aca="false">IF(A292="","",B291-Calculo!$B$6/Calculo!$B$8)</f>
        <v/>
      </c>
      <c r="C292" s="11" t="str">
        <f aca="false">IF(A292="","",Calculo!$B$6/Calculo!$B$8+B292*Calculo!$B$7/100)</f>
        <v/>
      </c>
      <c r="D292" s="11" t="str">
        <f aca="false">IF(A292="","",D291-(Calculo!$B$10-D291*Calculo!$B$7/100))</f>
        <v/>
      </c>
      <c r="E292" s="11" t="str">
        <f aca="false">IF(A292="","",Calculo!$B$10)</f>
        <v/>
      </c>
    </row>
    <row r="293" customFormat="false" ht="15" hidden="false" customHeight="false" outlineLevel="0" collapsed="false">
      <c r="A293" s="0" t="str">
        <f aca="false">IF(292&lt;=Calculo!$B$8,292,"")</f>
        <v/>
      </c>
      <c r="B293" s="11" t="str">
        <f aca="false">IF(A293="","",B292-Calculo!$B$6/Calculo!$B$8)</f>
        <v/>
      </c>
      <c r="C293" s="11" t="str">
        <f aca="false">IF(A293="","",Calculo!$B$6/Calculo!$B$8+B293*Calculo!$B$7/100)</f>
        <v/>
      </c>
      <c r="D293" s="11" t="str">
        <f aca="false">IF(A293="","",D292-(Calculo!$B$10-D292*Calculo!$B$7/100))</f>
        <v/>
      </c>
      <c r="E293" s="11" t="str">
        <f aca="false">IF(A293="","",Calculo!$B$10)</f>
        <v/>
      </c>
    </row>
    <row r="294" customFormat="false" ht="15" hidden="false" customHeight="false" outlineLevel="0" collapsed="false">
      <c r="A294" s="0" t="str">
        <f aca="false">IF(293&lt;=Calculo!$B$8,293,"")</f>
        <v/>
      </c>
      <c r="B294" s="11" t="str">
        <f aca="false">IF(A294="","",B293-Calculo!$B$6/Calculo!$B$8)</f>
        <v/>
      </c>
      <c r="C294" s="11" t="str">
        <f aca="false">IF(A294="","",Calculo!$B$6/Calculo!$B$8+B294*Calculo!$B$7/100)</f>
        <v/>
      </c>
      <c r="D294" s="11" t="str">
        <f aca="false">IF(A294="","",D293-(Calculo!$B$10-D293*Calculo!$B$7/100))</f>
        <v/>
      </c>
      <c r="E294" s="11" t="str">
        <f aca="false">IF(A294="","",Calculo!$B$10)</f>
        <v/>
      </c>
    </row>
    <row r="295" customFormat="false" ht="15" hidden="false" customHeight="false" outlineLevel="0" collapsed="false">
      <c r="A295" s="0" t="str">
        <f aca="false">IF(294&lt;=Calculo!$B$8,294,"")</f>
        <v/>
      </c>
      <c r="B295" s="11" t="str">
        <f aca="false">IF(A295="","",B294-Calculo!$B$6/Calculo!$B$8)</f>
        <v/>
      </c>
      <c r="C295" s="11" t="str">
        <f aca="false">IF(A295="","",Calculo!$B$6/Calculo!$B$8+B295*Calculo!$B$7/100)</f>
        <v/>
      </c>
      <c r="D295" s="11" t="str">
        <f aca="false">IF(A295="","",D294-(Calculo!$B$10-D294*Calculo!$B$7/100))</f>
        <v/>
      </c>
      <c r="E295" s="11" t="str">
        <f aca="false">IF(A295="","",Calculo!$B$10)</f>
        <v/>
      </c>
    </row>
    <row r="296" customFormat="false" ht="15" hidden="false" customHeight="false" outlineLevel="0" collapsed="false">
      <c r="A296" s="0" t="str">
        <f aca="false">IF(295&lt;=Calculo!$B$8,295,"")</f>
        <v/>
      </c>
      <c r="B296" s="11" t="str">
        <f aca="false">IF(A296="","",B295-Calculo!$B$6/Calculo!$B$8)</f>
        <v/>
      </c>
      <c r="C296" s="11" t="str">
        <f aca="false">IF(A296="","",Calculo!$B$6/Calculo!$B$8+B296*Calculo!$B$7/100)</f>
        <v/>
      </c>
      <c r="D296" s="11" t="str">
        <f aca="false">IF(A296="","",D295-(Calculo!$B$10-D295*Calculo!$B$7/100))</f>
        <v/>
      </c>
      <c r="E296" s="11" t="str">
        <f aca="false">IF(A296="","",Calculo!$B$10)</f>
        <v/>
      </c>
    </row>
    <row r="297" customFormat="false" ht="15" hidden="false" customHeight="false" outlineLevel="0" collapsed="false">
      <c r="A297" s="0" t="str">
        <f aca="false">IF(296&lt;=Calculo!$B$8,296,"")</f>
        <v/>
      </c>
      <c r="B297" s="11" t="str">
        <f aca="false">IF(A297="","",B296-Calculo!$B$6/Calculo!$B$8)</f>
        <v/>
      </c>
      <c r="C297" s="11" t="str">
        <f aca="false">IF(A297="","",Calculo!$B$6/Calculo!$B$8+B297*Calculo!$B$7/100)</f>
        <v/>
      </c>
      <c r="D297" s="11" t="str">
        <f aca="false">IF(A297="","",D296-(Calculo!$B$10-D296*Calculo!$B$7/100))</f>
        <v/>
      </c>
      <c r="E297" s="11" t="str">
        <f aca="false">IF(A297="","",Calculo!$B$10)</f>
        <v/>
      </c>
    </row>
    <row r="298" customFormat="false" ht="15" hidden="false" customHeight="false" outlineLevel="0" collapsed="false">
      <c r="A298" s="0" t="str">
        <f aca="false">IF(297&lt;=Calculo!$B$8,297,"")</f>
        <v/>
      </c>
      <c r="B298" s="11" t="str">
        <f aca="false">IF(A298="","",B297-Calculo!$B$6/Calculo!$B$8)</f>
        <v/>
      </c>
      <c r="C298" s="11" t="str">
        <f aca="false">IF(A298="","",Calculo!$B$6/Calculo!$B$8+B298*Calculo!$B$7/100)</f>
        <v/>
      </c>
      <c r="D298" s="11" t="str">
        <f aca="false">IF(A298="","",D297-(Calculo!$B$10-D297*Calculo!$B$7/100))</f>
        <v/>
      </c>
      <c r="E298" s="11" t="str">
        <f aca="false">IF(A298="","",Calculo!$B$10)</f>
        <v/>
      </c>
    </row>
    <row r="299" customFormat="false" ht="15" hidden="false" customHeight="false" outlineLevel="0" collapsed="false">
      <c r="A299" s="0" t="str">
        <f aca="false">IF(298&lt;=Calculo!$B$8,298,"")</f>
        <v/>
      </c>
      <c r="B299" s="11" t="str">
        <f aca="false">IF(A299="","",B298-Calculo!$B$6/Calculo!$B$8)</f>
        <v/>
      </c>
      <c r="C299" s="11" t="str">
        <f aca="false">IF(A299="","",Calculo!$B$6/Calculo!$B$8+B299*Calculo!$B$7/100)</f>
        <v/>
      </c>
      <c r="D299" s="11" t="str">
        <f aca="false">IF(A299="","",D298-(Calculo!$B$10-D298*Calculo!$B$7/100))</f>
        <v/>
      </c>
      <c r="E299" s="11" t="str">
        <f aca="false">IF(A299="","",Calculo!$B$10)</f>
        <v/>
      </c>
    </row>
    <row r="300" customFormat="false" ht="15" hidden="false" customHeight="false" outlineLevel="0" collapsed="false">
      <c r="A300" s="0" t="str">
        <f aca="false">IF(299&lt;=Calculo!$B$8,299,"")</f>
        <v/>
      </c>
      <c r="B300" s="11" t="str">
        <f aca="false">IF(A300="","",B299-Calculo!$B$6/Calculo!$B$8)</f>
        <v/>
      </c>
      <c r="C300" s="11" t="str">
        <f aca="false">IF(A300="","",Calculo!$B$6/Calculo!$B$8+B300*Calculo!$B$7/100)</f>
        <v/>
      </c>
      <c r="D300" s="11" t="str">
        <f aca="false">IF(A300="","",D299-(Calculo!$B$10-D299*Calculo!$B$7/100))</f>
        <v/>
      </c>
      <c r="E300" s="11" t="str">
        <f aca="false">IF(A300="","",Calculo!$B$10)</f>
        <v/>
      </c>
    </row>
    <row r="301" customFormat="false" ht="15" hidden="false" customHeight="false" outlineLevel="0" collapsed="false">
      <c r="A301" s="0" t="str">
        <f aca="false">IF(300&lt;=Calculo!$B$8,300,"")</f>
        <v/>
      </c>
      <c r="B301" s="11" t="str">
        <f aca="false">IF(A301="","",B300-Calculo!$B$6/Calculo!$B$8)</f>
        <v/>
      </c>
      <c r="C301" s="11" t="str">
        <f aca="false">IF(A301="","",Calculo!$B$6/Calculo!$B$8+B301*Calculo!$B$7/100)</f>
        <v/>
      </c>
      <c r="D301" s="11" t="str">
        <f aca="false">IF(A301="","",D300-(Calculo!$B$10-D300*Calculo!$B$7/100))</f>
        <v/>
      </c>
      <c r="E301" s="11" t="str">
        <f aca="false">IF(A301="","",Calculo!$B$10)</f>
        <v/>
      </c>
    </row>
    <row r="302" customFormat="false" ht="15" hidden="false" customHeight="false" outlineLevel="0" collapsed="false">
      <c r="A302" s="0" t="str">
        <f aca="false">IF(301&lt;=Calculo!$B$8,301,"")</f>
        <v/>
      </c>
      <c r="B302" s="11" t="str">
        <f aca="false">IF(A302="","",B301-Calculo!$B$6/Calculo!$B$8)</f>
        <v/>
      </c>
      <c r="C302" s="11" t="str">
        <f aca="false">IF(A302="","",Calculo!$B$6/Calculo!$B$8+B302*Calculo!$B$7/100)</f>
        <v/>
      </c>
      <c r="D302" s="11" t="str">
        <f aca="false">IF(A302="","",D301-(Calculo!$B$10-D301*Calculo!$B$7/100))</f>
        <v/>
      </c>
      <c r="E302" s="11" t="str">
        <f aca="false">IF(A302="","",Calculo!$B$10)</f>
        <v/>
      </c>
    </row>
    <row r="303" customFormat="false" ht="15" hidden="false" customHeight="false" outlineLevel="0" collapsed="false">
      <c r="A303" s="0" t="str">
        <f aca="false">IF(302&lt;=Calculo!$B$8,302,"")</f>
        <v/>
      </c>
      <c r="B303" s="11" t="str">
        <f aca="false">IF(A303="","",B302-Calculo!$B$6/Calculo!$B$8)</f>
        <v/>
      </c>
      <c r="C303" s="11" t="str">
        <f aca="false">IF(A303="","",Calculo!$B$6/Calculo!$B$8+B303*Calculo!$B$7/100)</f>
        <v/>
      </c>
      <c r="D303" s="11" t="str">
        <f aca="false">IF(A303="","",D302-(Calculo!$B$10-D302*Calculo!$B$7/100))</f>
        <v/>
      </c>
      <c r="E303" s="11" t="str">
        <f aca="false">IF(A303="","",Calculo!$B$10)</f>
        <v/>
      </c>
    </row>
    <row r="304" customFormat="false" ht="15" hidden="false" customHeight="false" outlineLevel="0" collapsed="false">
      <c r="A304" s="0" t="str">
        <f aca="false">IF(303&lt;=Calculo!$B$8,303,"")</f>
        <v/>
      </c>
      <c r="B304" s="11" t="str">
        <f aca="false">IF(A304="","",B303-Calculo!$B$6/Calculo!$B$8)</f>
        <v/>
      </c>
      <c r="C304" s="11" t="str">
        <f aca="false">IF(A304="","",Calculo!$B$6/Calculo!$B$8+B304*Calculo!$B$7/100)</f>
        <v/>
      </c>
      <c r="D304" s="11" t="str">
        <f aca="false">IF(A304="","",D303-(Calculo!$B$10-D303*Calculo!$B$7/100))</f>
        <v/>
      </c>
      <c r="E304" s="11" t="str">
        <f aca="false">IF(A304="","",Calculo!$B$10)</f>
        <v/>
      </c>
    </row>
    <row r="305" customFormat="false" ht="15" hidden="false" customHeight="false" outlineLevel="0" collapsed="false">
      <c r="A305" s="0" t="str">
        <f aca="false">IF(304&lt;=Calculo!$B$8,304,"")</f>
        <v/>
      </c>
      <c r="B305" s="11" t="str">
        <f aca="false">IF(A305="","",B304-Calculo!$B$6/Calculo!$B$8)</f>
        <v/>
      </c>
      <c r="C305" s="11" t="str">
        <f aca="false">IF(A305="","",Calculo!$B$6/Calculo!$B$8+B305*Calculo!$B$7/100)</f>
        <v/>
      </c>
      <c r="D305" s="11" t="str">
        <f aca="false">IF(A305="","",D304-(Calculo!$B$10-D304*Calculo!$B$7/100))</f>
        <v/>
      </c>
      <c r="E305" s="11" t="str">
        <f aca="false">IF(A305="","",Calculo!$B$10)</f>
        <v/>
      </c>
    </row>
    <row r="306" customFormat="false" ht="15" hidden="false" customHeight="false" outlineLevel="0" collapsed="false">
      <c r="A306" s="0" t="str">
        <f aca="false">IF(305&lt;=Calculo!$B$8,305,"")</f>
        <v/>
      </c>
      <c r="B306" s="11" t="str">
        <f aca="false">IF(A306="","",B305-Calculo!$B$6/Calculo!$B$8)</f>
        <v/>
      </c>
      <c r="C306" s="11" t="str">
        <f aca="false">IF(A306="","",Calculo!$B$6/Calculo!$B$8+B306*Calculo!$B$7/100)</f>
        <v/>
      </c>
      <c r="D306" s="11" t="str">
        <f aca="false">IF(A306="","",D305-(Calculo!$B$10-D305*Calculo!$B$7/100))</f>
        <v/>
      </c>
      <c r="E306" s="11" t="str">
        <f aca="false">IF(A306="","",Calculo!$B$10)</f>
        <v/>
      </c>
    </row>
    <row r="307" customFormat="false" ht="15" hidden="false" customHeight="false" outlineLevel="0" collapsed="false">
      <c r="A307" s="0" t="str">
        <f aca="false">IF(306&lt;=Calculo!$B$8,306,"")</f>
        <v/>
      </c>
      <c r="B307" s="11" t="str">
        <f aca="false">IF(A307="","",B306-Calculo!$B$6/Calculo!$B$8)</f>
        <v/>
      </c>
      <c r="C307" s="11" t="str">
        <f aca="false">IF(A307="","",Calculo!$B$6/Calculo!$B$8+B307*Calculo!$B$7/100)</f>
        <v/>
      </c>
      <c r="D307" s="11" t="str">
        <f aca="false">IF(A307="","",D306-(Calculo!$B$10-D306*Calculo!$B$7/100))</f>
        <v/>
      </c>
      <c r="E307" s="11" t="str">
        <f aca="false">IF(A307="","",Calculo!$B$10)</f>
        <v/>
      </c>
    </row>
    <row r="308" customFormat="false" ht="15" hidden="false" customHeight="false" outlineLevel="0" collapsed="false">
      <c r="A308" s="0" t="str">
        <f aca="false">IF(307&lt;=Calculo!$B$8,307,"")</f>
        <v/>
      </c>
      <c r="B308" s="11" t="str">
        <f aca="false">IF(A308="","",B307-Calculo!$B$6/Calculo!$B$8)</f>
        <v/>
      </c>
      <c r="C308" s="11" t="str">
        <f aca="false">IF(A308="","",Calculo!$B$6/Calculo!$B$8+B308*Calculo!$B$7/100)</f>
        <v/>
      </c>
      <c r="D308" s="11" t="str">
        <f aca="false">IF(A308="","",D307-(Calculo!$B$10-D307*Calculo!$B$7/100))</f>
        <v/>
      </c>
      <c r="E308" s="11" t="str">
        <f aca="false">IF(A308="","",Calculo!$B$10)</f>
        <v/>
      </c>
    </row>
    <row r="309" customFormat="false" ht="15" hidden="false" customHeight="false" outlineLevel="0" collapsed="false">
      <c r="A309" s="0" t="str">
        <f aca="false">IF(308&lt;=Calculo!$B$8,308,"")</f>
        <v/>
      </c>
      <c r="B309" s="11" t="str">
        <f aca="false">IF(A309="","",B308-Calculo!$B$6/Calculo!$B$8)</f>
        <v/>
      </c>
      <c r="C309" s="11" t="str">
        <f aca="false">IF(A309="","",Calculo!$B$6/Calculo!$B$8+B309*Calculo!$B$7/100)</f>
        <v/>
      </c>
      <c r="D309" s="11" t="str">
        <f aca="false">IF(A309="","",D308-(Calculo!$B$10-D308*Calculo!$B$7/100))</f>
        <v/>
      </c>
      <c r="E309" s="11" t="str">
        <f aca="false">IF(A309="","",Calculo!$B$10)</f>
        <v/>
      </c>
    </row>
    <row r="310" customFormat="false" ht="15" hidden="false" customHeight="false" outlineLevel="0" collapsed="false">
      <c r="A310" s="0" t="str">
        <f aca="false">IF(309&lt;=Calculo!$B$8,309,"")</f>
        <v/>
      </c>
      <c r="B310" s="11" t="str">
        <f aca="false">IF(A310="","",B309-Calculo!$B$6/Calculo!$B$8)</f>
        <v/>
      </c>
      <c r="C310" s="11" t="str">
        <f aca="false">IF(A310="","",Calculo!$B$6/Calculo!$B$8+B310*Calculo!$B$7/100)</f>
        <v/>
      </c>
      <c r="D310" s="11" t="str">
        <f aca="false">IF(A310="","",D309-(Calculo!$B$10-D309*Calculo!$B$7/100))</f>
        <v/>
      </c>
      <c r="E310" s="11" t="str">
        <f aca="false">IF(A310="","",Calculo!$B$10)</f>
        <v/>
      </c>
    </row>
    <row r="311" customFormat="false" ht="15" hidden="false" customHeight="false" outlineLevel="0" collapsed="false">
      <c r="A311" s="0" t="str">
        <f aca="false">IF(310&lt;=Calculo!$B$8,310,"")</f>
        <v/>
      </c>
      <c r="B311" s="11" t="str">
        <f aca="false">IF(A311="","",B310-Calculo!$B$6/Calculo!$B$8)</f>
        <v/>
      </c>
      <c r="C311" s="11" t="str">
        <f aca="false">IF(A311="","",Calculo!$B$6/Calculo!$B$8+B311*Calculo!$B$7/100)</f>
        <v/>
      </c>
      <c r="D311" s="11" t="str">
        <f aca="false">IF(A311="","",D310-(Calculo!$B$10-D310*Calculo!$B$7/100))</f>
        <v/>
      </c>
      <c r="E311" s="11" t="str">
        <f aca="false">IF(A311="","",Calculo!$B$10)</f>
        <v/>
      </c>
    </row>
    <row r="312" customFormat="false" ht="15" hidden="false" customHeight="false" outlineLevel="0" collapsed="false">
      <c r="A312" s="0" t="str">
        <f aca="false">IF(311&lt;=Calculo!$B$8,311,"")</f>
        <v/>
      </c>
      <c r="B312" s="11" t="str">
        <f aca="false">IF(A312="","",B311-Calculo!$B$6/Calculo!$B$8)</f>
        <v/>
      </c>
      <c r="C312" s="11" t="str">
        <f aca="false">IF(A312="","",Calculo!$B$6/Calculo!$B$8+B312*Calculo!$B$7/100)</f>
        <v/>
      </c>
      <c r="D312" s="11" t="str">
        <f aca="false">IF(A312="","",D311-(Calculo!$B$10-D311*Calculo!$B$7/100))</f>
        <v/>
      </c>
      <c r="E312" s="11" t="str">
        <f aca="false">IF(A312="","",Calculo!$B$10)</f>
        <v/>
      </c>
    </row>
    <row r="313" customFormat="false" ht="15" hidden="false" customHeight="false" outlineLevel="0" collapsed="false">
      <c r="A313" s="0" t="str">
        <f aca="false">IF(312&lt;=Calculo!$B$8,312,"")</f>
        <v/>
      </c>
      <c r="B313" s="11" t="str">
        <f aca="false">IF(A313="","",B312-Calculo!$B$6/Calculo!$B$8)</f>
        <v/>
      </c>
      <c r="C313" s="11" t="str">
        <f aca="false">IF(A313="","",Calculo!$B$6/Calculo!$B$8+B313*Calculo!$B$7/100)</f>
        <v/>
      </c>
      <c r="D313" s="11" t="str">
        <f aca="false">IF(A313="","",D312-(Calculo!$B$10-D312*Calculo!$B$7/100))</f>
        <v/>
      </c>
      <c r="E313" s="11" t="str">
        <f aca="false">IF(A313="","",Calculo!$B$10)</f>
        <v/>
      </c>
    </row>
    <row r="314" customFormat="false" ht="15" hidden="false" customHeight="false" outlineLevel="0" collapsed="false">
      <c r="A314" s="0" t="str">
        <f aca="false">IF(313&lt;=Calculo!$B$8,313,"")</f>
        <v/>
      </c>
      <c r="B314" s="11" t="str">
        <f aca="false">IF(A314="","",B313-Calculo!$B$6/Calculo!$B$8)</f>
        <v/>
      </c>
      <c r="C314" s="11" t="str">
        <f aca="false">IF(A314="","",Calculo!$B$6/Calculo!$B$8+B314*Calculo!$B$7/100)</f>
        <v/>
      </c>
      <c r="D314" s="11" t="str">
        <f aca="false">IF(A314="","",D313-(Calculo!$B$10-D313*Calculo!$B$7/100))</f>
        <v/>
      </c>
      <c r="E314" s="11" t="str">
        <f aca="false">IF(A314="","",Calculo!$B$10)</f>
        <v/>
      </c>
    </row>
    <row r="315" customFormat="false" ht="15" hidden="false" customHeight="false" outlineLevel="0" collapsed="false">
      <c r="A315" s="0" t="str">
        <f aca="false">IF(314&lt;=Calculo!$B$8,314,"")</f>
        <v/>
      </c>
      <c r="B315" s="11" t="str">
        <f aca="false">IF(A315="","",B314-Calculo!$B$6/Calculo!$B$8)</f>
        <v/>
      </c>
      <c r="C315" s="11" t="str">
        <f aca="false">IF(A315="","",Calculo!$B$6/Calculo!$B$8+B315*Calculo!$B$7/100)</f>
        <v/>
      </c>
      <c r="D315" s="11" t="str">
        <f aca="false">IF(A315="","",D314-(Calculo!$B$10-D314*Calculo!$B$7/100))</f>
        <v/>
      </c>
      <c r="E315" s="11" t="str">
        <f aca="false">IF(A315="","",Calculo!$B$10)</f>
        <v/>
      </c>
    </row>
    <row r="316" customFormat="false" ht="15" hidden="false" customHeight="false" outlineLevel="0" collapsed="false">
      <c r="A316" s="0" t="str">
        <f aca="false">IF(315&lt;=Calculo!$B$8,315,"")</f>
        <v/>
      </c>
      <c r="B316" s="11" t="str">
        <f aca="false">IF(A316="","",B315-Calculo!$B$6/Calculo!$B$8)</f>
        <v/>
      </c>
      <c r="C316" s="11" t="str">
        <f aca="false">IF(A316="","",Calculo!$B$6/Calculo!$B$8+B316*Calculo!$B$7/100)</f>
        <v/>
      </c>
      <c r="D316" s="11" t="str">
        <f aca="false">IF(A316="","",D315-(Calculo!$B$10-D315*Calculo!$B$7/100))</f>
        <v/>
      </c>
      <c r="E316" s="11" t="str">
        <f aca="false">IF(A316="","",Calculo!$B$10)</f>
        <v/>
      </c>
    </row>
    <row r="317" customFormat="false" ht="15" hidden="false" customHeight="false" outlineLevel="0" collapsed="false">
      <c r="A317" s="0" t="str">
        <f aca="false">IF(316&lt;=Calculo!$B$8,316,"")</f>
        <v/>
      </c>
      <c r="B317" s="11" t="str">
        <f aca="false">IF(A317="","",B316-Calculo!$B$6/Calculo!$B$8)</f>
        <v/>
      </c>
      <c r="C317" s="11" t="str">
        <f aca="false">IF(A317="","",Calculo!$B$6/Calculo!$B$8+B317*Calculo!$B$7/100)</f>
        <v/>
      </c>
      <c r="D317" s="11" t="str">
        <f aca="false">IF(A317="","",D316-(Calculo!$B$10-D316*Calculo!$B$7/100))</f>
        <v/>
      </c>
      <c r="E317" s="11" t="str">
        <f aca="false">IF(A317="","",Calculo!$B$10)</f>
        <v/>
      </c>
    </row>
    <row r="318" customFormat="false" ht="15" hidden="false" customHeight="false" outlineLevel="0" collapsed="false">
      <c r="A318" s="0" t="str">
        <f aca="false">IF(317&lt;=Calculo!$B$8,317,"")</f>
        <v/>
      </c>
      <c r="B318" s="11" t="str">
        <f aca="false">IF(A318="","",B317-Calculo!$B$6/Calculo!$B$8)</f>
        <v/>
      </c>
      <c r="C318" s="11" t="str">
        <f aca="false">IF(A318="","",Calculo!$B$6/Calculo!$B$8+B318*Calculo!$B$7/100)</f>
        <v/>
      </c>
      <c r="D318" s="11" t="str">
        <f aca="false">IF(A318="","",D317-(Calculo!$B$10-D317*Calculo!$B$7/100))</f>
        <v/>
      </c>
      <c r="E318" s="11" t="str">
        <f aca="false">IF(A318="","",Calculo!$B$10)</f>
        <v/>
      </c>
    </row>
    <row r="319" customFormat="false" ht="15" hidden="false" customHeight="false" outlineLevel="0" collapsed="false">
      <c r="A319" s="0" t="str">
        <f aca="false">IF(318&lt;=Calculo!$B$8,318,"")</f>
        <v/>
      </c>
      <c r="B319" s="11" t="str">
        <f aca="false">IF(A319="","",B318-Calculo!$B$6/Calculo!$B$8)</f>
        <v/>
      </c>
      <c r="C319" s="11" t="str">
        <f aca="false">IF(A319="","",Calculo!$B$6/Calculo!$B$8+B319*Calculo!$B$7/100)</f>
        <v/>
      </c>
      <c r="D319" s="11" t="str">
        <f aca="false">IF(A319="","",D318-(Calculo!$B$10-D318*Calculo!$B$7/100))</f>
        <v/>
      </c>
      <c r="E319" s="11" t="str">
        <f aca="false">IF(A319="","",Calculo!$B$10)</f>
        <v/>
      </c>
    </row>
    <row r="320" customFormat="false" ht="15" hidden="false" customHeight="false" outlineLevel="0" collapsed="false">
      <c r="A320" s="0" t="str">
        <f aca="false">IF(319&lt;=Calculo!$B$8,319,"")</f>
        <v/>
      </c>
      <c r="B320" s="11" t="str">
        <f aca="false">IF(A320="","",B319-Calculo!$B$6/Calculo!$B$8)</f>
        <v/>
      </c>
      <c r="C320" s="11" t="str">
        <f aca="false">IF(A320="","",Calculo!$B$6/Calculo!$B$8+B320*Calculo!$B$7/100)</f>
        <v/>
      </c>
      <c r="D320" s="11" t="str">
        <f aca="false">IF(A320="","",D319-(Calculo!$B$10-D319*Calculo!$B$7/100))</f>
        <v/>
      </c>
      <c r="E320" s="11" t="str">
        <f aca="false">IF(A320="","",Calculo!$B$10)</f>
        <v/>
      </c>
    </row>
    <row r="321" customFormat="false" ht="15" hidden="false" customHeight="false" outlineLevel="0" collapsed="false">
      <c r="A321" s="0" t="str">
        <f aca="false">IF(320&lt;=Calculo!$B$8,320,"")</f>
        <v/>
      </c>
      <c r="B321" s="11" t="str">
        <f aca="false">IF(A321="","",B320-Calculo!$B$6/Calculo!$B$8)</f>
        <v/>
      </c>
      <c r="C321" s="11" t="str">
        <f aca="false">IF(A321="","",Calculo!$B$6/Calculo!$B$8+B321*Calculo!$B$7/100)</f>
        <v/>
      </c>
      <c r="D321" s="11" t="str">
        <f aca="false">IF(A321="","",D320-(Calculo!$B$10-D320*Calculo!$B$7/100))</f>
        <v/>
      </c>
      <c r="E321" s="11" t="str">
        <f aca="false">IF(A321="","",Calculo!$B$10)</f>
        <v/>
      </c>
    </row>
    <row r="322" customFormat="false" ht="15" hidden="false" customHeight="false" outlineLevel="0" collapsed="false">
      <c r="A322" s="0" t="str">
        <f aca="false">IF(321&lt;=Calculo!$B$8,321,"")</f>
        <v/>
      </c>
      <c r="B322" s="11" t="str">
        <f aca="false">IF(A322="","",B321-Calculo!$B$6/Calculo!$B$8)</f>
        <v/>
      </c>
      <c r="C322" s="11" t="str">
        <f aca="false">IF(A322="","",Calculo!$B$6/Calculo!$B$8+B322*Calculo!$B$7/100)</f>
        <v/>
      </c>
      <c r="D322" s="11" t="str">
        <f aca="false">IF(A322="","",D321-(Calculo!$B$10-D321*Calculo!$B$7/100))</f>
        <v/>
      </c>
      <c r="E322" s="11" t="str">
        <f aca="false">IF(A322="","",Calculo!$B$10)</f>
        <v/>
      </c>
    </row>
    <row r="323" customFormat="false" ht="15" hidden="false" customHeight="false" outlineLevel="0" collapsed="false">
      <c r="A323" s="0" t="str">
        <f aca="false">IF(322&lt;=Calculo!$B$8,322,"")</f>
        <v/>
      </c>
      <c r="B323" s="11" t="str">
        <f aca="false">IF(A323="","",B322-Calculo!$B$6/Calculo!$B$8)</f>
        <v/>
      </c>
      <c r="C323" s="11" t="str">
        <f aca="false">IF(A323="","",Calculo!$B$6/Calculo!$B$8+B323*Calculo!$B$7/100)</f>
        <v/>
      </c>
      <c r="D323" s="11" t="str">
        <f aca="false">IF(A323="","",D322-(Calculo!$B$10-D322*Calculo!$B$7/100))</f>
        <v/>
      </c>
      <c r="E323" s="11" t="str">
        <f aca="false">IF(A323="","",Calculo!$B$10)</f>
        <v/>
      </c>
    </row>
    <row r="324" customFormat="false" ht="15" hidden="false" customHeight="false" outlineLevel="0" collapsed="false">
      <c r="A324" s="0" t="str">
        <f aca="false">IF(323&lt;=Calculo!$B$8,323,"")</f>
        <v/>
      </c>
      <c r="B324" s="11" t="str">
        <f aca="false">IF(A324="","",B323-Calculo!$B$6/Calculo!$B$8)</f>
        <v/>
      </c>
      <c r="C324" s="11" t="str">
        <f aca="false">IF(A324="","",Calculo!$B$6/Calculo!$B$8+B324*Calculo!$B$7/100)</f>
        <v/>
      </c>
      <c r="D324" s="11" t="str">
        <f aca="false">IF(A324="","",D323-(Calculo!$B$10-D323*Calculo!$B$7/100))</f>
        <v/>
      </c>
      <c r="E324" s="11" t="str">
        <f aca="false">IF(A324="","",Calculo!$B$10)</f>
        <v/>
      </c>
    </row>
    <row r="325" customFormat="false" ht="15" hidden="false" customHeight="false" outlineLevel="0" collapsed="false">
      <c r="A325" s="0" t="str">
        <f aca="false">IF(324&lt;=Calculo!$B$8,324,"")</f>
        <v/>
      </c>
      <c r="B325" s="11" t="str">
        <f aca="false">IF(A325="","",B324-Calculo!$B$6/Calculo!$B$8)</f>
        <v/>
      </c>
      <c r="C325" s="11" t="str">
        <f aca="false">IF(A325="","",Calculo!$B$6/Calculo!$B$8+B325*Calculo!$B$7/100)</f>
        <v/>
      </c>
      <c r="D325" s="11" t="str">
        <f aca="false">IF(A325="","",D324-(Calculo!$B$10-D324*Calculo!$B$7/100))</f>
        <v/>
      </c>
      <c r="E325" s="11" t="str">
        <f aca="false">IF(A325="","",Calculo!$B$10)</f>
        <v/>
      </c>
    </row>
    <row r="326" customFormat="false" ht="15" hidden="false" customHeight="false" outlineLevel="0" collapsed="false">
      <c r="A326" s="0" t="str">
        <f aca="false">IF(325&lt;=Calculo!$B$8,325,"")</f>
        <v/>
      </c>
      <c r="B326" s="11" t="str">
        <f aca="false">IF(A326="","",B325-Calculo!$B$6/Calculo!$B$8)</f>
        <v/>
      </c>
      <c r="C326" s="11" t="str">
        <f aca="false">IF(A326="","",Calculo!$B$6/Calculo!$B$8+B326*Calculo!$B$7/100)</f>
        <v/>
      </c>
      <c r="D326" s="11" t="str">
        <f aca="false">IF(A326="","",D325-(Calculo!$B$10-D325*Calculo!$B$7/100))</f>
        <v/>
      </c>
      <c r="E326" s="11" t="str">
        <f aca="false">IF(A326="","",Calculo!$B$10)</f>
        <v/>
      </c>
    </row>
    <row r="327" customFormat="false" ht="15" hidden="false" customHeight="false" outlineLevel="0" collapsed="false">
      <c r="A327" s="0" t="str">
        <f aca="false">IF(326&lt;=Calculo!$B$8,326,"")</f>
        <v/>
      </c>
      <c r="B327" s="11" t="str">
        <f aca="false">IF(A327="","",B326-Calculo!$B$6/Calculo!$B$8)</f>
        <v/>
      </c>
      <c r="C327" s="11" t="str">
        <f aca="false">IF(A327="","",Calculo!$B$6/Calculo!$B$8+B327*Calculo!$B$7/100)</f>
        <v/>
      </c>
      <c r="D327" s="11" t="str">
        <f aca="false">IF(A327="","",D326-(Calculo!$B$10-D326*Calculo!$B$7/100))</f>
        <v/>
      </c>
      <c r="E327" s="11" t="str">
        <f aca="false">IF(A327="","",Calculo!$B$10)</f>
        <v/>
      </c>
    </row>
    <row r="328" customFormat="false" ht="15" hidden="false" customHeight="false" outlineLevel="0" collapsed="false">
      <c r="A328" s="0" t="str">
        <f aca="false">IF(327&lt;=Calculo!$B$8,327,"")</f>
        <v/>
      </c>
      <c r="B328" s="11" t="str">
        <f aca="false">IF(A328="","",B327-Calculo!$B$6/Calculo!$B$8)</f>
        <v/>
      </c>
      <c r="C328" s="11" t="str">
        <f aca="false">IF(A328="","",Calculo!$B$6/Calculo!$B$8+B328*Calculo!$B$7/100)</f>
        <v/>
      </c>
      <c r="D328" s="11" t="str">
        <f aca="false">IF(A328="","",D327-(Calculo!$B$10-D327*Calculo!$B$7/100))</f>
        <v/>
      </c>
      <c r="E328" s="11" t="str">
        <f aca="false">IF(A328="","",Calculo!$B$10)</f>
        <v/>
      </c>
    </row>
    <row r="329" customFormat="false" ht="15" hidden="false" customHeight="false" outlineLevel="0" collapsed="false">
      <c r="A329" s="0" t="str">
        <f aca="false">IF(328&lt;=Calculo!$B$8,328,"")</f>
        <v/>
      </c>
      <c r="B329" s="11" t="str">
        <f aca="false">IF(A329="","",B328-Calculo!$B$6/Calculo!$B$8)</f>
        <v/>
      </c>
      <c r="C329" s="11" t="str">
        <f aca="false">IF(A329="","",Calculo!$B$6/Calculo!$B$8+B329*Calculo!$B$7/100)</f>
        <v/>
      </c>
      <c r="D329" s="11" t="str">
        <f aca="false">IF(A329="","",D328-(Calculo!$B$10-D328*Calculo!$B$7/100))</f>
        <v/>
      </c>
      <c r="E329" s="11" t="str">
        <f aca="false">IF(A329="","",Calculo!$B$10)</f>
        <v/>
      </c>
    </row>
    <row r="330" customFormat="false" ht="15" hidden="false" customHeight="false" outlineLevel="0" collapsed="false">
      <c r="A330" s="0" t="str">
        <f aca="false">IF(329&lt;=Calculo!$B$8,329,"")</f>
        <v/>
      </c>
      <c r="B330" s="11" t="str">
        <f aca="false">IF(A330="","",B329-Calculo!$B$6/Calculo!$B$8)</f>
        <v/>
      </c>
      <c r="C330" s="11" t="str">
        <f aca="false">IF(A330="","",Calculo!$B$6/Calculo!$B$8+B330*Calculo!$B$7/100)</f>
        <v/>
      </c>
      <c r="D330" s="11" t="str">
        <f aca="false">IF(A330="","",D329-(Calculo!$B$10-D329*Calculo!$B$7/100))</f>
        <v/>
      </c>
      <c r="E330" s="11" t="str">
        <f aca="false">IF(A330="","",Calculo!$B$10)</f>
        <v/>
      </c>
    </row>
    <row r="331" customFormat="false" ht="15" hidden="false" customHeight="false" outlineLevel="0" collapsed="false">
      <c r="A331" s="0" t="str">
        <f aca="false">IF(330&lt;=Calculo!$B$8,330,"")</f>
        <v/>
      </c>
      <c r="B331" s="11" t="str">
        <f aca="false">IF(A331="","",B330-Calculo!$B$6/Calculo!$B$8)</f>
        <v/>
      </c>
      <c r="C331" s="11" t="str">
        <f aca="false">IF(A331="","",Calculo!$B$6/Calculo!$B$8+B331*Calculo!$B$7/100)</f>
        <v/>
      </c>
      <c r="D331" s="11" t="str">
        <f aca="false">IF(A331="","",D330-(Calculo!$B$10-D330*Calculo!$B$7/100))</f>
        <v/>
      </c>
      <c r="E331" s="11" t="str">
        <f aca="false">IF(A331="","",Calculo!$B$10)</f>
        <v/>
      </c>
    </row>
    <row r="332" customFormat="false" ht="15" hidden="false" customHeight="false" outlineLevel="0" collapsed="false">
      <c r="A332" s="0" t="str">
        <f aca="false">IF(331&lt;=Calculo!$B$8,331,"")</f>
        <v/>
      </c>
      <c r="B332" s="11" t="str">
        <f aca="false">IF(A332="","",B331-Calculo!$B$6/Calculo!$B$8)</f>
        <v/>
      </c>
      <c r="C332" s="11" t="str">
        <f aca="false">IF(A332="","",Calculo!$B$6/Calculo!$B$8+B332*Calculo!$B$7/100)</f>
        <v/>
      </c>
      <c r="D332" s="11" t="str">
        <f aca="false">IF(A332="","",D331-(Calculo!$B$10-D331*Calculo!$B$7/100))</f>
        <v/>
      </c>
      <c r="E332" s="11" t="str">
        <f aca="false">IF(A332="","",Calculo!$B$10)</f>
        <v/>
      </c>
    </row>
    <row r="333" customFormat="false" ht="15" hidden="false" customHeight="false" outlineLevel="0" collapsed="false">
      <c r="A333" s="0" t="str">
        <f aca="false">IF(332&lt;=Calculo!$B$8,332,"")</f>
        <v/>
      </c>
      <c r="B333" s="11" t="str">
        <f aca="false">IF(A333="","",B332-Calculo!$B$6/Calculo!$B$8)</f>
        <v/>
      </c>
      <c r="C333" s="11" t="str">
        <f aca="false">IF(A333="","",Calculo!$B$6/Calculo!$B$8+B333*Calculo!$B$7/100)</f>
        <v/>
      </c>
      <c r="D333" s="11" t="str">
        <f aca="false">IF(A333="","",D332-(Calculo!$B$10-D332*Calculo!$B$7/100))</f>
        <v/>
      </c>
      <c r="E333" s="11" t="str">
        <f aca="false">IF(A333="","",Calculo!$B$10)</f>
        <v/>
      </c>
    </row>
    <row r="334" customFormat="false" ht="15" hidden="false" customHeight="false" outlineLevel="0" collapsed="false">
      <c r="A334" s="0" t="str">
        <f aca="false">IF(333&lt;=Calculo!$B$8,333,"")</f>
        <v/>
      </c>
      <c r="B334" s="11" t="str">
        <f aca="false">IF(A334="","",B333-Calculo!$B$6/Calculo!$B$8)</f>
        <v/>
      </c>
      <c r="C334" s="11" t="str">
        <f aca="false">IF(A334="","",Calculo!$B$6/Calculo!$B$8+B334*Calculo!$B$7/100)</f>
        <v/>
      </c>
      <c r="D334" s="11" t="str">
        <f aca="false">IF(A334="","",D333-(Calculo!$B$10-D333*Calculo!$B$7/100))</f>
        <v/>
      </c>
      <c r="E334" s="11" t="str">
        <f aca="false">IF(A334="","",Calculo!$B$10)</f>
        <v/>
      </c>
    </row>
    <row r="335" customFormat="false" ht="15" hidden="false" customHeight="false" outlineLevel="0" collapsed="false">
      <c r="A335" s="0" t="str">
        <f aca="false">IF(334&lt;=Calculo!$B$8,334,"")</f>
        <v/>
      </c>
      <c r="B335" s="11" t="str">
        <f aca="false">IF(A335="","",B334-Calculo!$B$6/Calculo!$B$8)</f>
        <v/>
      </c>
      <c r="C335" s="11" t="str">
        <f aca="false">IF(A335="","",Calculo!$B$6/Calculo!$B$8+B335*Calculo!$B$7/100)</f>
        <v/>
      </c>
      <c r="D335" s="11" t="str">
        <f aca="false">IF(A335="","",D334-(Calculo!$B$10-D334*Calculo!$B$7/100))</f>
        <v/>
      </c>
      <c r="E335" s="11" t="str">
        <f aca="false">IF(A335="","",Calculo!$B$10)</f>
        <v/>
      </c>
    </row>
    <row r="336" customFormat="false" ht="15" hidden="false" customHeight="false" outlineLevel="0" collapsed="false">
      <c r="A336" s="0" t="str">
        <f aca="false">IF(335&lt;=Calculo!$B$8,335,"")</f>
        <v/>
      </c>
      <c r="B336" s="11" t="str">
        <f aca="false">IF(A336="","",B335-Calculo!$B$6/Calculo!$B$8)</f>
        <v/>
      </c>
      <c r="C336" s="11" t="str">
        <f aca="false">IF(A336="","",Calculo!$B$6/Calculo!$B$8+B336*Calculo!$B$7/100)</f>
        <v/>
      </c>
      <c r="D336" s="11" t="str">
        <f aca="false">IF(A336="","",D335-(Calculo!$B$10-D335*Calculo!$B$7/100))</f>
        <v/>
      </c>
      <c r="E336" s="11" t="str">
        <f aca="false">IF(A336="","",Calculo!$B$10)</f>
        <v/>
      </c>
    </row>
    <row r="337" customFormat="false" ht="15" hidden="false" customHeight="false" outlineLevel="0" collapsed="false">
      <c r="A337" s="0" t="str">
        <f aca="false">IF(336&lt;=Calculo!$B$8,336,"")</f>
        <v/>
      </c>
      <c r="B337" s="11" t="str">
        <f aca="false">IF(A337="","",B336-Calculo!$B$6/Calculo!$B$8)</f>
        <v/>
      </c>
      <c r="C337" s="11" t="str">
        <f aca="false">IF(A337="","",Calculo!$B$6/Calculo!$B$8+B337*Calculo!$B$7/100)</f>
        <v/>
      </c>
      <c r="D337" s="11" t="str">
        <f aca="false">IF(A337="","",D336-(Calculo!$B$10-D336*Calculo!$B$7/100))</f>
        <v/>
      </c>
      <c r="E337" s="11" t="str">
        <f aca="false">IF(A337="","",Calculo!$B$10)</f>
        <v/>
      </c>
    </row>
    <row r="338" customFormat="false" ht="15" hidden="false" customHeight="false" outlineLevel="0" collapsed="false">
      <c r="A338" s="0" t="str">
        <f aca="false">IF(337&lt;=Calculo!$B$8,337,"")</f>
        <v/>
      </c>
      <c r="B338" s="11" t="str">
        <f aca="false">IF(A338="","",B337-Calculo!$B$6/Calculo!$B$8)</f>
        <v/>
      </c>
      <c r="C338" s="11" t="str">
        <f aca="false">IF(A338="","",Calculo!$B$6/Calculo!$B$8+B338*Calculo!$B$7/100)</f>
        <v/>
      </c>
      <c r="D338" s="11" t="str">
        <f aca="false">IF(A338="","",D337-(Calculo!$B$10-D337*Calculo!$B$7/100))</f>
        <v/>
      </c>
      <c r="E338" s="11" t="str">
        <f aca="false">IF(A338="","",Calculo!$B$10)</f>
        <v/>
      </c>
    </row>
    <row r="339" customFormat="false" ht="15" hidden="false" customHeight="false" outlineLevel="0" collapsed="false">
      <c r="A339" s="0" t="str">
        <f aca="false">IF(338&lt;=Calculo!$B$8,338,"")</f>
        <v/>
      </c>
      <c r="B339" s="11" t="str">
        <f aca="false">IF(A339="","",B338-Calculo!$B$6/Calculo!$B$8)</f>
        <v/>
      </c>
      <c r="C339" s="11" t="str">
        <f aca="false">IF(A339="","",Calculo!$B$6/Calculo!$B$8+B339*Calculo!$B$7/100)</f>
        <v/>
      </c>
      <c r="D339" s="11" t="str">
        <f aca="false">IF(A339="","",D338-(Calculo!$B$10-D338*Calculo!$B$7/100))</f>
        <v/>
      </c>
      <c r="E339" s="11" t="str">
        <f aca="false">IF(A339="","",Calculo!$B$10)</f>
        <v/>
      </c>
    </row>
    <row r="340" customFormat="false" ht="15" hidden="false" customHeight="false" outlineLevel="0" collapsed="false">
      <c r="A340" s="0" t="str">
        <f aca="false">IF(339&lt;=Calculo!$B$8,339,"")</f>
        <v/>
      </c>
      <c r="B340" s="11" t="str">
        <f aca="false">IF(A340="","",B339-Calculo!$B$6/Calculo!$B$8)</f>
        <v/>
      </c>
      <c r="C340" s="11" t="str">
        <f aca="false">IF(A340="","",Calculo!$B$6/Calculo!$B$8+B340*Calculo!$B$7/100)</f>
        <v/>
      </c>
      <c r="D340" s="11" t="str">
        <f aca="false">IF(A340="","",D339-(Calculo!$B$10-D339*Calculo!$B$7/100))</f>
        <v/>
      </c>
      <c r="E340" s="11" t="str">
        <f aca="false">IF(A340="","",Calculo!$B$10)</f>
        <v/>
      </c>
    </row>
    <row r="341" customFormat="false" ht="15" hidden="false" customHeight="false" outlineLevel="0" collapsed="false">
      <c r="A341" s="0" t="str">
        <f aca="false">IF(340&lt;=Calculo!$B$8,340,"")</f>
        <v/>
      </c>
      <c r="B341" s="11" t="str">
        <f aca="false">IF(A341="","",B340-Calculo!$B$6/Calculo!$B$8)</f>
        <v/>
      </c>
      <c r="C341" s="11" t="str">
        <f aca="false">IF(A341="","",Calculo!$B$6/Calculo!$B$8+B341*Calculo!$B$7/100)</f>
        <v/>
      </c>
      <c r="D341" s="11" t="str">
        <f aca="false">IF(A341="","",D340-(Calculo!$B$10-D340*Calculo!$B$7/100))</f>
        <v/>
      </c>
      <c r="E341" s="11" t="str">
        <f aca="false">IF(A341="","",Calculo!$B$10)</f>
        <v/>
      </c>
    </row>
    <row r="342" customFormat="false" ht="15" hidden="false" customHeight="false" outlineLevel="0" collapsed="false">
      <c r="A342" s="0" t="str">
        <f aca="false">IF(341&lt;=Calculo!$B$8,341,"")</f>
        <v/>
      </c>
      <c r="B342" s="11" t="str">
        <f aca="false">IF(A342="","",B341-Calculo!$B$6/Calculo!$B$8)</f>
        <v/>
      </c>
      <c r="C342" s="11" t="str">
        <f aca="false">IF(A342="","",Calculo!$B$6/Calculo!$B$8+B342*Calculo!$B$7/100)</f>
        <v/>
      </c>
      <c r="D342" s="11" t="str">
        <f aca="false">IF(A342="","",D341-(Calculo!$B$10-D341*Calculo!$B$7/100))</f>
        <v/>
      </c>
      <c r="E342" s="11" t="str">
        <f aca="false">IF(A342="","",Calculo!$B$10)</f>
        <v/>
      </c>
    </row>
    <row r="343" customFormat="false" ht="15" hidden="false" customHeight="false" outlineLevel="0" collapsed="false">
      <c r="A343" s="0" t="str">
        <f aca="false">IF(342&lt;=Calculo!$B$8,342,"")</f>
        <v/>
      </c>
      <c r="B343" s="11" t="str">
        <f aca="false">IF(A343="","",B342-Calculo!$B$6/Calculo!$B$8)</f>
        <v/>
      </c>
      <c r="C343" s="11" t="str">
        <f aca="false">IF(A343="","",Calculo!$B$6/Calculo!$B$8+B343*Calculo!$B$7/100)</f>
        <v/>
      </c>
      <c r="D343" s="11" t="str">
        <f aca="false">IF(A343="","",D342-(Calculo!$B$10-D342*Calculo!$B$7/100))</f>
        <v/>
      </c>
      <c r="E343" s="11" t="str">
        <f aca="false">IF(A343="","",Calculo!$B$10)</f>
        <v/>
      </c>
    </row>
    <row r="344" customFormat="false" ht="15" hidden="false" customHeight="false" outlineLevel="0" collapsed="false">
      <c r="A344" s="0" t="str">
        <f aca="false">IF(343&lt;=Calculo!$B$8,343,"")</f>
        <v/>
      </c>
      <c r="B344" s="11" t="str">
        <f aca="false">IF(A344="","",B343-Calculo!$B$6/Calculo!$B$8)</f>
        <v/>
      </c>
      <c r="C344" s="11" t="str">
        <f aca="false">IF(A344="","",Calculo!$B$6/Calculo!$B$8+B344*Calculo!$B$7/100)</f>
        <v/>
      </c>
      <c r="D344" s="11" t="str">
        <f aca="false">IF(A344="","",D343-(Calculo!$B$10-D343*Calculo!$B$7/100))</f>
        <v/>
      </c>
      <c r="E344" s="11" t="str">
        <f aca="false">IF(A344="","",Calculo!$B$10)</f>
        <v/>
      </c>
    </row>
    <row r="345" customFormat="false" ht="15" hidden="false" customHeight="false" outlineLevel="0" collapsed="false">
      <c r="A345" s="0" t="str">
        <f aca="false">IF(344&lt;=Calculo!$B$8,344,"")</f>
        <v/>
      </c>
      <c r="B345" s="11" t="str">
        <f aca="false">IF(A345="","",B344-Calculo!$B$6/Calculo!$B$8)</f>
        <v/>
      </c>
      <c r="C345" s="11" t="str">
        <f aca="false">IF(A345="","",Calculo!$B$6/Calculo!$B$8+B345*Calculo!$B$7/100)</f>
        <v/>
      </c>
      <c r="D345" s="11" t="str">
        <f aca="false">IF(A345="","",D344-(Calculo!$B$10-D344*Calculo!$B$7/100))</f>
        <v/>
      </c>
      <c r="E345" s="11" t="str">
        <f aca="false">IF(A345="","",Calculo!$B$10)</f>
        <v/>
      </c>
    </row>
    <row r="346" customFormat="false" ht="15" hidden="false" customHeight="false" outlineLevel="0" collapsed="false">
      <c r="A346" s="0" t="str">
        <f aca="false">IF(345&lt;=Calculo!$B$8,345,"")</f>
        <v/>
      </c>
      <c r="B346" s="11" t="str">
        <f aca="false">IF(A346="","",B345-Calculo!$B$6/Calculo!$B$8)</f>
        <v/>
      </c>
      <c r="C346" s="11" t="str">
        <f aca="false">IF(A346="","",Calculo!$B$6/Calculo!$B$8+B346*Calculo!$B$7/100)</f>
        <v/>
      </c>
      <c r="D346" s="11" t="str">
        <f aca="false">IF(A346="","",D345-(Calculo!$B$10-D345*Calculo!$B$7/100))</f>
        <v/>
      </c>
      <c r="E346" s="11" t="str">
        <f aca="false">IF(A346="","",Calculo!$B$10)</f>
        <v/>
      </c>
    </row>
    <row r="347" customFormat="false" ht="15" hidden="false" customHeight="false" outlineLevel="0" collapsed="false">
      <c r="A347" s="0" t="str">
        <f aca="false">IF(346&lt;=Calculo!$B$8,346,"")</f>
        <v/>
      </c>
      <c r="B347" s="11" t="str">
        <f aca="false">IF(A347="","",B346-Calculo!$B$6/Calculo!$B$8)</f>
        <v/>
      </c>
      <c r="C347" s="11" t="str">
        <f aca="false">IF(A347="","",Calculo!$B$6/Calculo!$B$8+B347*Calculo!$B$7/100)</f>
        <v/>
      </c>
      <c r="D347" s="11" t="str">
        <f aca="false">IF(A347="","",D346-(Calculo!$B$10-D346*Calculo!$B$7/100))</f>
        <v/>
      </c>
      <c r="E347" s="11" t="str">
        <f aca="false">IF(A347="","",Calculo!$B$10)</f>
        <v/>
      </c>
    </row>
    <row r="348" customFormat="false" ht="15" hidden="false" customHeight="false" outlineLevel="0" collapsed="false">
      <c r="A348" s="0" t="str">
        <f aca="false">IF(347&lt;=Calculo!$B$8,347,"")</f>
        <v/>
      </c>
      <c r="B348" s="11" t="str">
        <f aca="false">IF(A348="","",B347-Calculo!$B$6/Calculo!$B$8)</f>
        <v/>
      </c>
      <c r="C348" s="11" t="str">
        <f aca="false">IF(A348="","",Calculo!$B$6/Calculo!$B$8+B348*Calculo!$B$7/100)</f>
        <v/>
      </c>
      <c r="D348" s="11" t="str">
        <f aca="false">IF(A348="","",D347-(Calculo!$B$10-D347*Calculo!$B$7/100))</f>
        <v/>
      </c>
      <c r="E348" s="11" t="str">
        <f aca="false">IF(A348="","",Calculo!$B$10)</f>
        <v/>
      </c>
    </row>
    <row r="349" customFormat="false" ht="15" hidden="false" customHeight="false" outlineLevel="0" collapsed="false">
      <c r="A349" s="0" t="str">
        <f aca="false">IF(348&lt;=Calculo!$B$8,348,"")</f>
        <v/>
      </c>
      <c r="B349" s="11" t="str">
        <f aca="false">IF(A349="","",B348-Calculo!$B$6/Calculo!$B$8)</f>
        <v/>
      </c>
      <c r="C349" s="11" t="str">
        <f aca="false">IF(A349="","",Calculo!$B$6/Calculo!$B$8+B349*Calculo!$B$7/100)</f>
        <v/>
      </c>
      <c r="D349" s="11" t="str">
        <f aca="false">IF(A349="","",D348-(Calculo!$B$10-D348*Calculo!$B$7/100))</f>
        <v/>
      </c>
      <c r="E349" s="11" t="str">
        <f aca="false">IF(A349="","",Calculo!$B$10)</f>
        <v/>
      </c>
    </row>
    <row r="350" customFormat="false" ht="15" hidden="false" customHeight="false" outlineLevel="0" collapsed="false">
      <c r="A350" s="0" t="str">
        <f aca="false">IF(349&lt;=Calculo!$B$8,349,"")</f>
        <v/>
      </c>
      <c r="B350" s="11" t="str">
        <f aca="false">IF(A350="","",B349-Calculo!$B$6/Calculo!$B$8)</f>
        <v/>
      </c>
      <c r="C350" s="11" t="str">
        <f aca="false">IF(A350="","",Calculo!$B$6/Calculo!$B$8+B350*Calculo!$B$7/100)</f>
        <v/>
      </c>
      <c r="D350" s="11" t="str">
        <f aca="false">IF(A350="","",D349-(Calculo!$B$10-D349*Calculo!$B$7/100))</f>
        <v/>
      </c>
      <c r="E350" s="11" t="str">
        <f aca="false">IF(A350="","",Calculo!$B$10)</f>
        <v/>
      </c>
    </row>
    <row r="351" customFormat="false" ht="15" hidden="false" customHeight="false" outlineLevel="0" collapsed="false">
      <c r="A351" s="0" t="str">
        <f aca="false">IF(350&lt;=Calculo!$B$8,350,"")</f>
        <v/>
      </c>
      <c r="B351" s="11" t="str">
        <f aca="false">IF(A351="","",B350-Calculo!$B$6/Calculo!$B$8)</f>
        <v/>
      </c>
      <c r="C351" s="11" t="str">
        <f aca="false">IF(A351="","",Calculo!$B$6/Calculo!$B$8+B351*Calculo!$B$7/100)</f>
        <v/>
      </c>
      <c r="D351" s="11" t="str">
        <f aca="false">IF(A351="","",D350-(Calculo!$B$10-D350*Calculo!$B$7/100))</f>
        <v/>
      </c>
      <c r="E351" s="11" t="str">
        <f aca="false">IF(A351="","",Calculo!$B$10)</f>
        <v/>
      </c>
    </row>
    <row r="352" customFormat="false" ht="15" hidden="false" customHeight="false" outlineLevel="0" collapsed="false">
      <c r="A352" s="0" t="str">
        <f aca="false">IF(351&lt;=Calculo!$B$8,351,"")</f>
        <v/>
      </c>
      <c r="B352" s="11" t="str">
        <f aca="false">IF(A352="","",B351-Calculo!$B$6/Calculo!$B$8)</f>
        <v/>
      </c>
      <c r="C352" s="11" t="str">
        <f aca="false">IF(A352="","",Calculo!$B$6/Calculo!$B$8+B352*Calculo!$B$7/100)</f>
        <v/>
      </c>
      <c r="D352" s="11" t="str">
        <f aca="false">IF(A352="","",D351-(Calculo!$B$10-D351*Calculo!$B$7/100))</f>
        <v/>
      </c>
      <c r="E352" s="11" t="str">
        <f aca="false">IF(A352="","",Calculo!$B$10)</f>
        <v/>
      </c>
    </row>
    <row r="353" customFormat="false" ht="15" hidden="false" customHeight="false" outlineLevel="0" collapsed="false">
      <c r="A353" s="0" t="str">
        <f aca="false">IF(352&lt;=Calculo!$B$8,352,"")</f>
        <v/>
      </c>
      <c r="B353" s="11" t="str">
        <f aca="false">IF(A353="","",B352-Calculo!$B$6/Calculo!$B$8)</f>
        <v/>
      </c>
      <c r="C353" s="11" t="str">
        <f aca="false">IF(A353="","",Calculo!$B$6/Calculo!$B$8+B353*Calculo!$B$7/100)</f>
        <v/>
      </c>
      <c r="D353" s="11" t="str">
        <f aca="false">IF(A353="","",D352-(Calculo!$B$10-D352*Calculo!$B$7/100))</f>
        <v/>
      </c>
      <c r="E353" s="11" t="str">
        <f aca="false">IF(A353="","",Calculo!$B$10)</f>
        <v/>
      </c>
    </row>
    <row r="354" customFormat="false" ht="15" hidden="false" customHeight="false" outlineLevel="0" collapsed="false">
      <c r="A354" s="0" t="str">
        <f aca="false">IF(353&lt;=Calculo!$B$8,353,"")</f>
        <v/>
      </c>
      <c r="B354" s="11" t="str">
        <f aca="false">IF(A354="","",B353-Calculo!$B$6/Calculo!$B$8)</f>
        <v/>
      </c>
      <c r="C354" s="11" t="str">
        <f aca="false">IF(A354="","",Calculo!$B$6/Calculo!$B$8+B354*Calculo!$B$7/100)</f>
        <v/>
      </c>
      <c r="D354" s="11" t="str">
        <f aca="false">IF(A354="","",D353-(Calculo!$B$10-D353*Calculo!$B$7/100))</f>
        <v/>
      </c>
      <c r="E354" s="11" t="str">
        <f aca="false">IF(A354="","",Calculo!$B$10)</f>
        <v/>
      </c>
    </row>
    <row r="355" customFormat="false" ht="15" hidden="false" customHeight="false" outlineLevel="0" collapsed="false">
      <c r="A355" s="0" t="str">
        <f aca="false">IF(354&lt;=Calculo!$B$8,354,"")</f>
        <v/>
      </c>
      <c r="B355" s="11" t="str">
        <f aca="false">IF(A355="","",B354-Calculo!$B$6/Calculo!$B$8)</f>
        <v/>
      </c>
      <c r="C355" s="11" t="str">
        <f aca="false">IF(A355="","",Calculo!$B$6/Calculo!$B$8+B355*Calculo!$B$7/100)</f>
        <v/>
      </c>
      <c r="D355" s="11" t="str">
        <f aca="false">IF(A355="","",D354-(Calculo!$B$10-D354*Calculo!$B$7/100))</f>
        <v/>
      </c>
      <c r="E355" s="11" t="str">
        <f aca="false">IF(A355="","",Calculo!$B$10)</f>
        <v/>
      </c>
    </row>
    <row r="356" customFormat="false" ht="15" hidden="false" customHeight="false" outlineLevel="0" collapsed="false">
      <c r="A356" s="0" t="str">
        <f aca="false">IF(355&lt;=Calculo!$B$8,355,"")</f>
        <v/>
      </c>
      <c r="B356" s="11" t="str">
        <f aca="false">IF(A356="","",B355-Calculo!$B$6/Calculo!$B$8)</f>
        <v/>
      </c>
      <c r="C356" s="11" t="str">
        <f aca="false">IF(A356="","",Calculo!$B$6/Calculo!$B$8+B356*Calculo!$B$7/100)</f>
        <v/>
      </c>
      <c r="D356" s="11" t="str">
        <f aca="false">IF(A356="","",D355-(Calculo!$B$10-D355*Calculo!$B$7/100))</f>
        <v/>
      </c>
      <c r="E356" s="11" t="str">
        <f aca="false">IF(A356="","",Calculo!$B$10)</f>
        <v/>
      </c>
    </row>
    <row r="357" customFormat="false" ht="15" hidden="false" customHeight="false" outlineLevel="0" collapsed="false">
      <c r="A357" s="0" t="str">
        <f aca="false">IF(356&lt;=Calculo!$B$8,356,"")</f>
        <v/>
      </c>
      <c r="B357" s="11" t="str">
        <f aca="false">IF(A357="","",B356-Calculo!$B$6/Calculo!$B$8)</f>
        <v/>
      </c>
      <c r="C357" s="11" t="str">
        <f aca="false">IF(A357="","",Calculo!$B$6/Calculo!$B$8+B357*Calculo!$B$7/100)</f>
        <v/>
      </c>
      <c r="D357" s="11" t="str">
        <f aca="false">IF(A357="","",D356-(Calculo!$B$10-D356*Calculo!$B$7/100))</f>
        <v/>
      </c>
      <c r="E357" s="11" t="str">
        <f aca="false">IF(A357="","",Calculo!$B$10)</f>
        <v/>
      </c>
    </row>
    <row r="358" customFormat="false" ht="15" hidden="false" customHeight="false" outlineLevel="0" collapsed="false">
      <c r="A358" s="0" t="str">
        <f aca="false">IF(357&lt;=Calculo!$B$8,357,"")</f>
        <v/>
      </c>
      <c r="B358" s="11" t="str">
        <f aca="false">IF(A358="","",B357-Calculo!$B$6/Calculo!$B$8)</f>
        <v/>
      </c>
      <c r="C358" s="11" t="str">
        <f aca="false">IF(A358="","",Calculo!$B$6/Calculo!$B$8+B358*Calculo!$B$7/100)</f>
        <v/>
      </c>
      <c r="D358" s="11" t="str">
        <f aca="false">IF(A358="","",D357-(Calculo!$B$10-D357*Calculo!$B$7/100))</f>
        <v/>
      </c>
      <c r="E358" s="11" t="str">
        <f aca="false">IF(A358="","",Calculo!$B$10)</f>
        <v/>
      </c>
    </row>
    <row r="359" customFormat="false" ht="15" hidden="false" customHeight="false" outlineLevel="0" collapsed="false">
      <c r="A359" s="0" t="str">
        <f aca="false">IF(358&lt;=Calculo!$B$8,358,"")</f>
        <v/>
      </c>
      <c r="B359" s="11" t="str">
        <f aca="false">IF(A359="","",B358-Calculo!$B$6/Calculo!$B$8)</f>
        <v/>
      </c>
      <c r="C359" s="11" t="str">
        <f aca="false">IF(A359="","",Calculo!$B$6/Calculo!$B$8+B359*Calculo!$B$7/100)</f>
        <v/>
      </c>
      <c r="D359" s="11" t="str">
        <f aca="false">IF(A359="","",D358-(Calculo!$B$10-D358*Calculo!$B$7/100))</f>
        <v/>
      </c>
      <c r="E359" s="11" t="str">
        <f aca="false">IF(A359="","",Calculo!$B$10)</f>
        <v/>
      </c>
    </row>
    <row r="360" customFormat="false" ht="15" hidden="false" customHeight="false" outlineLevel="0" collapsed="false">
      <c r="A360" s="0" t="str">
        <f aca="false">IF(359&lt;=Calculo!$B$8,359,"")</f>
        <v/>
      </c>
      <c r="B360" s="11" t="str">
        <f aca="false">IF(A360="","",B359-Calculo!$B$6/Calculo!$B$8)</f>
        <v/>
      </c>
      <c r="C360" s="11" t="str">
        <f aca="false">IF(A360="","",Calculo!$B$6/Calculo!$B$8+B360*Calculo!$B$7/100)</f>
        <v/>
      </c>
      <c r="D360" s="11" t="str">
        <f aca="false">IF(A360="","",D359-(Calculo!$B$10-D359*Calculo!$B$7/100))</f>
        <v/>
      </c>
      <c r="E360" s="11" t="str">
        <f aca="false">IF(A360="","",Calculo!$B$10)</f>
        <v/>
      </c>
    </row>
    <row r="361" customFormat="false" ht="15" hidden="false" customHeight="false" outlineLevel="0" collapsed="false">
      <c r="A361" s="0" t="str">
        <f aca="false">IF(360&lt;=Calculo!$B$8,360,"")</f>
        <v/>
      </c>
      <c r="B361" s="11" t="str">
        <f aca="false">IF(A361="","",B360-Calculo!$B$6/Calculo!$B$8)</f>
        <v/>
      </c>
      <c r="C361" s="11" t="str">
        <f aca="false">IF(A361="","",Calculo!$B$6/Calculo!$B$8+B361*Calculo!$B$7/100)</f>
        <v/>
      </c>
      <c r="D361" s="11" t="str">
        <f aca="false">IF(A361="","",D360-(Calculo!$B$10-D360*Calculo!$B$7/100))</f>
        <v/>
      </c>
      <c r="E361" s="11" t="str">
        <f aca="false">IF(A361="","",Calculo!$B$10)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2026-10-14T00:54:29Z</dcterms:created>
  <dc:creator>openpyxl</dc:creator>
  <dc:description/>
  <dc:language>pt-BR</dc:language>
  <cp:lastModifiedBy/>
  <dcterms:modified xsi:type="dcterms:W3CDTF">2026-10-14T00:54:29Z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